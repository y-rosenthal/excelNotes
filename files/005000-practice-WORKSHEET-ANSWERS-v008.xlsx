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yrose\Dropbox (Personal)\website\yu\ids1020-IntroToIDS\89-fall24-ids1020-introToIDS\"/>
    </mc:Choice>
  </mc:AlternateContent>
  <xr:revisionPtr revIDLastSave="0" documentId="13_ncr:1_{55B4F410-3055-4247-BC05-1479412A5579}" xr6:coauthVersionLast="47" xr6:coauthVersionMax="47" xr10:uidLastSave="{00000000-0000-0000-0000-000000000000}"/>
  <bookViews>
    <workbookView xWindow="-108" yWindow="-108" windowWidth="30936" windowHeight="17016" xr2:uid="{5A39B738-A195-4DCE-B2F1-BA7640E87045}"/>
  </bookViews>
  <sheets>
    <sheet name="READ THIS - ABOUT THIS FILE" sheetId="9" r:id="rId1"/>
    <sheet name="part1-answers" sheetId="7" r:id="rId2"/>
    <sheet name="part2-answers-inventory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6" l="1"/>
  <c r="D66" i="6"/>
  <c r="D65" i="6"/>
  <c r="D69" i="6"/>
  <c r="D70" i="6"/>
  <c r="D71" i="6"/>
  <c r="D72" i="6"/>
  <c r="D73" i="6"/>
  <c r="D74" i="6"/>
  <c r="K52" i="6"/>
  <c r="K39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17" i="6"/>
  <c r="M16" i="6"/>
  <c r="Q8" i="6"/>
  <c r="R8" i="6"/>
  <c r="Q9" i="6"/>
  <c r="R9" i="6"/>
  <c r="Q10" i="6"/>
  <c r="R10" i="6"/>
  <c r="Q11" i="6"/>
  <c r="R11" i="6"/>
  <c r="P9" i="6"/>
  <c r="P10" i="6"/>
  <c r="P11" i="6"/>
  <c r="P8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16" i="6"/>
  <c r="M60" i="6"/>
  <c r="M52" i="6"/>
  <c r="M39" i="6"/>
  <c r="B22" i="7" l="1"/>
  <c r="B21" i="7"/>
  <c r="G8" i="7"/>
  <c r="E7" i="7"/>
  <c r="B23" i="7"/>
  <c r="P17" i="6" l="1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16" i="6"/>
  <c r="O17" i="6" a="1"/>
  <c r="O17" i="6" s="1"/>
  <c r="O18" i="6" a="1"/>
  <c r="O18" i="6" s="1"/>
  <c r="O19" i="6" a="1"/>
  <c r="O19" i="6" s="1"/>
  <c r="O20" i="6" a="1"/>
  <c r="O20" i="6" s="1"/>
  <c r="O21" i="6" a="1"/>
  <c r="O21" i="6" s="1"/>
  <c r="O22" i="6" a="1"/>
  <c r="O22" i="6" s="1"/>
  <c r="O23" i="6" a="1"/>
  <c r="O23" i="6" s="1"/>
  <c r="O24" i="6" a="1"/>
  <c r="O24" i="6" s="1"/>
  <c r="O25" i="6" a="1"/>
  <c r="O25" i="6" s="1"/>
  <c r="O26" i="6" a="1"/>
  <c r="O26" i="6" s="1"/>
  <c r="O27" i="6" a="1"/>
  <c r="O27" i="6" s="1"/>
  <c r="O28" i="6" a="1"/>
  <c r="O28" i="6" s="1"/>
  <c r="O29" i="6" a="1"/>
  <c r="O29" i="6" s="1"/>
  <c r="O30" i="6" a="1"/>
  <c r="O30" i="6" s="1"/>
  <c r="O31" i="6" a="1"/>
  <c r="O31" i="6" s="1"/>
  <c r="O32" i="6" a="1"/>
  <c r="O32" i="6" s="1"/>
  <c r="O16" i="6" a="1"/>
  <c r="O16" i="6" s="1"/>
  <c r="Q24" i="6" l="1"/>
  <c r="Q31" i="6"/>
  <c r="Q30" i="6"/>
  <c r="Q22" i="6"/>
  <c r="Q29" i="6"/>
  <c r="Q21" i="6"/>
  <c r="Q28" i="6"/>
  <c r="Q20" i="6"/>
  <c r="Q27" i="6"/>
  <c r="Q19" i="6"/>
  <c r="Q23" i="6"/>
  <c r="Q26" i="6"/>
  <c r="Q18" i="6"/>
  <c r="Q32" i="6"/>
  <c r="Q25" i="6"/>
  <c r="Q17" i="6"/>
  <c r="Q16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<sst xmlns="http://schemas.openxmlformats.org/spreadsheetml/2006/main" count="220" uniqueCount="116">
  <si>
    <t>dept</t>
  </si>
  <si>
    <t>mens</t>
  </si>
  <si>
    <t>womens</t>
  </si>
  <si>
    <t>boys</t>
  </si>
  <si>
    <t>girls</t>
  </si>
  <si>
    <t>size</t>
  </si>
  <si>
    <t>s</t>
  </si>
  <si>
    <t>season</t>
  </si>
  <si>
    <t>winter</t>
  </si>
  <si>
    <t>spring</t>
  </si>
  <si>
    <t>summer</t>
  </si>
  <si>
    <t>fall</t>
  </si>
  <si>
    <t>shirt</t>
  </si>
  <si>
    <t>pants</t>
  </si>
  <si>
    <t>jacket</t>
  </si>
  <si>
    <t>amount
in
stock</t>
  </si>
  <si>
    <t>sku</t>
  </si>
  <si>
    <t>color</t>
  </si>
  <si>
    <t>mfr</t>
  </si>
  <si>
    <t>blue</t>
  </si>
  <si>
    <t>green</t>
  </si>
  <si>
    <t>yellow</t>
  </si>
  <si>
    <t>bbk</t>
  </si>
  <si>
    <t>tom ford</t>
  </si>
  <si>
    <t>hilfigger</t>
  </si>
  <si>
    <t>when
launched</t>
  </si>
  <si>
    <t>q1</t>
  </si>
  <si>
    <t>q2</t>
  </si>
  <si>
    <t>reorder?</t>
  </si>
  <si>
    <t>q3</t>
  </si>
  <si>
    <t>sale
price</t>
  </si>
  <si>
    <t>q4</t>
  </si>
  <si>
    <t>q5</t>
  </si>
  <si>
    <t>cklein</t>
  </si>
  <si>
    <t>m</t>
  </si>
  <si>
    <t>l</t>
  </si>
  <si>
    <t>xl</t>
  </si>
  <si>
    <t>xxl</t>
  </si>
  <si>
    <t>xxxl</t>
  </si>
  <si>
    <t>q6</t>
  </si>
  <si>
    <t>q7</t>
  </si>
  <si>
    <t>q8</t>
  </si>
  <si>
    <t>q9</t>
  </si>
  <si>
    <t>q10</t>
  </si>
  <si>
    <t>item</t>
  </si>
  <si>
    <t xml:space="preserve">
number
sold
this
year</t>
  </si>
  <si>
    <t>COLOR</t>
  </si>
  <si>
    <t>REDUCTION</t>
  </si>
  <si>
    <t>average
price
of this
type of
 item
 (eg. pants)</t>
  </si>
  <si>
    <t>price
reduction
based
on
color
(see 
table)</t>
  </si>
  <si>
    <t>This worksheet is filled in with plain data as well as with formulas.</t>
  </si>
  <si>
    <t>cell at the top of the column for the question (there is a box around that cell)</t>
  </si>
  <si>
    <t>Write each formula so that it can be "dragged down" to the other cells in the column.</t>
  </si>
  <si>
    <t>See the test paper for specific instructions for each question.</t>
  </si>
  <si>
    <t>For each question you are to write the formula as it would appear in the first.</t>
  </si>
  <si>
    <t>Question 10</t>
  </si>
  <si>
    <t>Vlookup table for 
question 9</t>
  </si>
  <si>
    <t>INSTRUCTIONS for Part II</t>
  </si>
  <si>
    <t>The info at the right is for questions 9 and 10. See the test paper for more info.</t>
  </si>
  <si>
    <t>correct results.</t>
  </si>
  <si>
    <t>The numbers in the cells below are calculated with formulas. Write a</t>
  </si>
  <si>
    <t>single formula to calculate the uppper left number. Write the formula</t>
  </si>
  <si>
    <t>so it can be copied to the other cells with numbers to calculate the</t>
  </si>
  <si>
    <t>Column q1 is for question 1, q2 is for question 2, etc.</t>
  </si>
  <si>
    <t>The columns below that start with q1, q2, etc contain formulas.</t>
  </si>
  <si>
    <t>QUESTION</t>
  </si>
  <si>
    <t>ANSWER</t>
  </si>
  <si>
    <t>QUESTION
NUMBER</t>
  </si>
  <si>
    <t>Formula in cell E7 ---&gt;</t>
  </si>
  <si>
    <t>was copied to cell G8 ---&gt;</t>
  </si>
  <si>
    <t>On windows - press alt-ENTER</t>
  </si>
  <si>
    <t>On Mac - press Ctrl-Opt-ENTER or Opt-ENTER depending on your mac version.</t>
  </si>
  <si>
    <t xml:space="preserve">DATA ABOVE IS USED IN THE FORMULAS </t>
  </si>
  <si>
    <t>=RANDBETWEEN(5000,19999)/100</t>
  </si>
  <si>
    <t xml:space="preserve">NOTE: the formula for the answer to q2 is NOT typed below. </t>
  </si>
  <si>
    <t xml:space="preserve">This is because the formula would generate random numbers and  we want to show the same </t>
  </si>
  <si>
    <t>numbers below that are on the questions page. The acutal answer is shown in the summary to the right.</t>
  </si>
  <si>
    <t>SUMMARY OF THE ANSWERS FOR PART II:</t>
  </si>
  <si>
    <t>This file contains answer to the practice questions given in the associated Word document.</t>
  </si>
  <si>
    <t>The other two worksheets (i.e. "tabs") in this file contain the answers to Part I and Part II.</t>
  </si>
  <si>
    <t>WHATS IN THIS FILE?</t>
  </si>
  <si>
    <t>FOR QUESTION 3 - look at the formulas in the cells below</t>
  </si>
  <si>
    <t>To see each step, you can click on the cell that contains a formula and the the "Evaluate Formula" button on the "Formulas" tab.</t>
  </si>
  <si>
    <t>TO GET PARTIAL CREDIT ON QUESTIONS 1 and 2 YOU MUST SHOW HOW EXCEL CACLUATES THE ANSWER, STEP BY STEP.</t>
  </si>
  <si>
    <t>To get partial credit on questions 1 and 2, you must write how you got your answer. To do so, show the steps that Excel takes to get the answer.</t>
  </si>
  <si>
    <t xml:space="preserve">These questions are meant to be answered WITHOUT Excel. </t>
  </si>
  <si>
    <t>NOTES</t>
  </si>
  <si>
    <t xml:space="preserve">&lt;&lt;&lt;--- To see the steps Excel takes to calculate, click on this cell, then press "Evaluate Formula" button on the "Formulas" tab. </t>
  </si>
  <si>
    <t>ANSWERS (see below)</t>
  </si>
  <si>
    <t>ANSWERS ARE AT THE BOTTOM OF THIS WORKSHEET</t>
  </si>
  <si>
    <t>ANSWERS TO PART I</t>
  </si>
  <si>
    <t>ANSWERS TO PART 2</t>
  </si>
  <si>
    <t>This practice set comes from an exam that was originally given on March 26, 2024.</t>
  </si>
  <si>
    <t>The picture of the completed spreadsheet that appears in the Word document is how the results would have appeared on that day.</t>
  </si>
  <si>
    <t>full
price
SEE 
NOTE 
BELOW!!!</t>
  </si>
  <si>
    <t>days
on
shelf
SEE 
NOTE 
BELOW!!!</t>
  </si>
  <si>
    <t>NOTES:</t>
  </si>
  <si>
    <t>question 
number</t>
  </si>
  <si>
    <t>FORMULATEXT</t>
  </si>
  <si>
    <t>The answer to question 2 should be as shown below:</t>
  </si>
  <si>
    <t xml:space="preserve">However, using randbetween would generate a new price for every cell in the column every time this file is opened. </t>
  </si>
  <si>
    <t>In order to see that the picture of the answers in the word document matches the data above, I didn't type in the formula.</t>
  </si>
  <si>
    <t>Rather I copied the actual numbers that were shown in the Word document.</t>
  </si>
  <si>
    <t>However, the correct answer is as shown above in this note.</t>
  </si>
  <si>
    <t>ANSWERS - THE ANSWERS CONSIST OF FORMULAS THAT ARE TYPED INTO THE YELLOW AND ORANGE CELLS. SEE NOTES AT THE BOTTOM OF THIS WORKSHEET.</t>
  </si>
  <si>
    <t>Question 3 asked to write a formula to show the number of days that a product has been "on the shelf" until today.</t>
  </si>
  <si>
    <t>The correct answer should have been as shown below</t>
  </si>
  <si>
    <t>However, using this function creates numbers that differ from what is shown in the Word document.</t>
  </si>
  <si>
    <t>Therefore the formula shown in the data above is rather the following which shows the number</t>
  </si>
  <si>
    <t>of days the item had been on the shelf as of March 26, 2024 - the day that the picture in the Word document shows.</t>
  </si>
  <si>
    <t xml:space="preserve">This answer uses the TODAY() function to calculate today's date. </t>
  </si>
  <si>
    <t>FORMULATEXT (of the formula in the main body of the data above)</t>
  </si>
  <si>
    <t>A summary of the correct formulas for the answers appears at the bottom of the "part2" tab.</t>
  </si>
  <si>
    <t>Make sure to read the NOTES section at the bottom of the "part2" tab for info relating to quesitons 2 and 3</t>
  </si>
  <si>
    <t>See answers on the "part1" tab.</t>
  </si>
  <si>
    <t>See answers on the "part2"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</si>
</sst>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14" fontId="0" fillId="0" borderId="0" xfId="0" applyNumberForma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 wrapText="1"/>
    </xf>
    <xf numFmtId="14" fontId="0" fillId="0" borderId="5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2" fillId="0" borderId="0" xfId="0" applyFont="1"/>
    <xf numFmtId="0" fontId="2" fillId="0" borderId="7" xfId="0" applyFont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9" xfId="0" applyFont="1" applyBorder="1"/>
    <xf numFmtId="2" fontId="0" fillId="0" borderId="10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Border="1" applyAlignment="1">
      <alignment horizontal="center"/>
    </xf>
    <xf numFmtId="1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0" fontId="2" fillId="0" borderId="0" xfId="0" applyFont="1" applyFill="1" applyBorder="1" applyAlignment="1">
      <alignment horizontal="right"/>
    </xf>
    <xf numFmtId="0" fontId="0" fillId="0" borderId="0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2" xfId="0" applyNumberFormat="1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0" fillId="0" borderId="0" xfId="0" applyFont="1"/>
    <xf numFmtId="0" fontId="0" fillId="0" borderId="0" xfId="0" quotePrefix="1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9AE68-0CF2-483C-B078-4F28E346D019}">
  <dimension ref="A1:B11"/>
  <sheetViews>
    <sheetView tabSelected="1" workbookViewId="0"/>
  </sheetViews>
  <sheetFormatPr defaultRowHeight="15" x14ac:dyDescent="0.25"/>
  <cols>
    <col min="5" max="5" width="64.7109375" bestFit="1" customWidth="1"/>
  </cols>
  <sheetData>
    <row r="1" spans="1:2" x14ac:dyDescent="0.25">
      <c r="A1" s="22" t="s">
        <v>80</v>
      </c>
    </row>
    <row r="2" spans="1:2" x14ac:dyDescent="0.25">
      <c r="B2" t="s">
        <v>78</v>
      </c>
    </row>
    <row r="3" spans="1:2" x14ac:dyDescent="0.25">
      <c r="B3" t="s">
        <v>79</v>
      </c>
    </row>
    <row r="5" spans="1:2" x14ac:dyDescent="0.25">
      <c r="A5" s="22" t="s">
        <v>90</v>
      </c>
    </row>
    <row r="6" spans="1:2" x14ac:dyDescent="0.25">
      <c r="B6" t="s">
        <v>114</v>
      </c>
    </row>
    <row r="8" spans="1:2" x14ac:dyDescent="0.25">
      <c r="A8" s="22" t="s">
        <v>91</v>
      </c>
    </row>
    <row r="9" spans="1:2" x14ac:dyDescent="0.25">
      <c r="B9" t="s">
        <v>115</v>
      </c>
    </row>
    <row r="10" spans="1:2" x14ac:dyDescent="0.25">
      <c r="B10" t="s">
        <v>113</v>
      </c>
    </row>
    <row r="11" spans="1:2" x14ac:dyDescent="0.25">
      <c r="B1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B0EF-E59E-43B6-8B3C-2F9D3E4006D5}">
  <dimension ref="A1:G25"/>
  <sheetViews>
    <sheetView workbookViewId="0"/>
  </sheetViews>
  <sheetFormatPr defaultRowHeight="15" x14ac:dyDescent="0.25"/>
  <cols>
    <col min="1" max="1" width="21.42578125" customWidth="1"/>
    <col min="2" max="2" width="20.42578125" bestFit="1" customWidth="1"/>
    <col min="3" max="3" width="21.7109375" customWidth="1"/>
    <col min="4" max="4" width="18.7109375" customWidth="1"/>
  </cols>
  <sheetData>
    <row r="1" spans="1:7" x14ac:dyDescent="0.25">
      <c r="A1" s="43">
        <v>1</v>
      </c>
      <c r="B1" s="43">
        <v>20</v>
      </c>
      <c r="C1" s="43">
        <v>100</v>
      </c>
    </row>
    <row r="2" spans="1:7" x14ac:dyDescent="0.25">
      <c r="A2" s="43">
        <v>2</v>
      </c>
      <c r="B2" s="43">
        <v>10</v>
      </c>
      <c r="C2" s="43">
        <v>300</v>
      </c>
    </row>
    <row r="3" spans="1:7" x14ac:dyDescent="0.25">
      <c r="A3" s="43">
        <v>3</v>
      </c>
      <c r="B3" s="43">
        <v>40</v>
      </c>
      <c r="C3" s="43">
        <v>200</v>
      </c>
    </row>
    <row r="4" spans="1:7" x14ac:dyDescent="0.25">
      <c r="A4" s="43">
        <v>4</v>
      </c>
      <c r="B4" s="43">
        <v>30</v>
      </c>
      <c r="C4" s="43">
        <v>400</v>
      </c>
    </row>
    <row r="6" spans="1:7" x14ac:dyDescent="0.25">
      <c r="A6" s="22" t="s">
        <v>89</v>
      </c>
      <c r="D6" s="22" t="s">
        <v>81</v>
      </c>
    </row>
    <row r="7" spans="1:7" x14ac:dyDescent="0.25">
      <c r="D7" s="22" t="s">
        <v>68</v>
      </c>
      <c r="E7">
        <f>F9+$F9+F$9+$F$9</f>
        <v>0</v>
      </c>
    </row>
    <row r="8" spans="1:7" x14ac:dyDescent="0.25">
      <c r="A8" s="22" t="s">
        <v>72</v>
      </c>
      <c r="D8" s="22" t="s">
        <v>69</v>
      </c>
      <c r="G8">
        <f>H10+$F10+H$9+$F$9</f>
        <v>0</v>
      </c>
    </row>
    <row r="10" spans="1:7" x14ac:dyDescent="0.25">
      <c r="A10" s="22" t="s">
        <v>83</v>
      </c>
    </row>
    <row r="11" spans="1:7" x14ac:dyDescent="0.25">
      <c r="B11" t="s">
        <v>85</v>
      </c>
    </row>
    <row r="12" spans="1:7" x14ac:dyDescent="0.25">
      <c r="B12" t="s">
        <v>84</v>
      </c>
    </row>
    <row r="13" spans="1:7" x14ac:dyDescent="0.25">
      <c r="B13" t="s">
        <v>82</v>
      </c>
    </row>
    <row r="17" spans="1:3" x14ac:dyDescent="0.25">
      <c r="A17" s="22" t="s">
        <v>88</v>
      </c>
    </row>
    <row r="19" spans="1:3" ht="30" x14ac:dyDescent="0.25">
      <c r="A19" s="17" t="s">
        <v>67</v>
      </c>
      <c r="B19" s="16" t="s">
        <v>66</v>
      </c>
      <c r="C19" s="22" t="s">
        <v>86</v>
      </c>
    </row>
    <row r="20" spans="1:3" x14ac:dyDescent="0.25">
      <c r="A20" s="12"/>
    </row>
    <row r="21" spans="1:3" x14ac:dyDescent="0.25">
      <c r="A21" s="12">
        <v>1</v>
      </c>
      <c r="B21" s="12">
        <f>3+IF(SUM(AVERAGE(B1:B2),A4)&lt;20,IF(A4&gt;100,300,5),IF(A1&gt;5,100,200))*3</f>
        <v>18</v>
      </c>
      <c r="C21" t="s">
        <v>87</v>
      </c>
    </row>
    <row r="22" spans="1:3" x14ac:dyDescent="0.25">
      <c r="A22" s="12">
        <v>2</v>
      </c>
      <c r="B22" s="12" t="b">
        <f>AND(B1&gt;1,OR(B2&gt;1000,B3&gt;1000))</f>
        <v>0</v>
      </c>
      <c r="C22" t="s">
        <v>87</v>
      </c>
    </row>
    <row r="23" spans="1:3" x14ac:dyDescent="0.25">
      <c r="A23" s="12">
        <v>3</v>
      </c>
      <c r="B23" s="12" t="str">
        <f ca="1">_xlfn.FORMULATEXT(G8)</f>
        <v>=H10+$F10+H$9+$F$9</v>
      </c>
    </row>
    <row r="24" spans="1:3" x14ac:dyDescent="0.25">
      <c r="A24" s="12">
        <v>4</v>
      </c>
      <c r="B24" t="s">
        <v>70</v>
      </c>
    </row>
    <row r="25" spans="1:3" x14ac:dyDescent="0.25">
      <c r="B25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214F-C99A-43C6-9744-169B8CD3BEA4}">
  <dimension ref="A1:AA74"/>
  <sheetViews>
    <sheetView zoomScale="110" zoomScaleNormal="110" workbookViewId="0">
      <selection activeCell="A2" sqref="A2"/>
    </sheetView>
  </sheetViews>
  <sheetFormatPr defaultRowHeight="15" x14ac:dyDescent="0.25"/>
  <cols>
    <col min="1" max="1" width="2.140625" customWidth="1"/>
    <col min="2" max="2" width="14.140625" customWidth="1"/>
    <col min="3" max="3" width="13.7109375" customWidth="1"/>
    <col min="4" max="4" width="8.28515625" bestFit="1" customWidth="1"/>
    <col min="5" max="5" width="8.7109375" customWidth="1"/>
    <col min="6" max="6" width="7.7109375" customWidth="1"/>
    <col min="10" max="10" width="10.28515625" bestFit="1" customWidth="1"/>
    <col min="11" max="11" width="10.5703125" bestFit="1" customWidth="1"/>
    <col min="12" max="12" width="11.28515625" customWidth="1"/>
    <col min="13" max="13" width="9.7109375" bestFit="1" customWidth="1"/>
    <col min="18" max="18" width="13" customWidth="1"/>
    <col min="19" max="19" width="10.85546875" customWidth="1"/>
    <col min="22" max="22" width="14.42578125" customWidth="1"/>
  </cols>
  <sheetData>
    <row r="1" spans="1:27" ht="15.75" thickBot="1" x14ac:dyDescent="0.3">
      <c r="A1" s="37" t="s">
        <v>104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45"/>
      <c r="P1" s="54"/>
      <c r="Q1" s="54"/>
      <c r="R1" s="54"/>
      <c r="S1" s="55"/>
    </row>
    <row r="2" spans="1:27" ht="29.45" customHeight="1" thickBot="1" x14ac:dyDescent="0.3">
      <c r="B2" s="48" t="s">
        <v>57</v>
      </c>
      <c r="C2" s="49"/>
      <c r="D2" s="49"/>
      <c r="E2" s="49"/>
      <c r="F2" s="49"/>
      <c r="G2" s="49"/>
      <c r="H2" s="49"/>
      <c r="I2" s="50"/>
      <c r="K2" s="51" t="s">
        <v>56</v>
      </c>
      <c r="L2" s="52"/>
      <c r="N2" s="53" t="s">
        <v>55</v>
      </c>
      <c r="O2" s="46"/>
      <c r="P2" s="46"/>
      <c r="Q2" s="46"/>
      <c r="R2" s="46"/>
      <c r="S2" s="47"/>
    </row>
    <row r="3" spans="1:27" x14ac:dyDescent="0.25">
      <c r="B3" s="2" t="s">
        <v>50</v>
      </c>
      <c r="C3" s="3"/>
      <c r="D3" s="3"/>
      <c r="E3" s="3"/>
      <c r="F3" s="3"/>
      <c r="G3" s="3"/>
      <c r="H3" s="3"/>
      <c r="I3" s="4"/>
      <c r="K3" s="24" t="s">
        <v>46</v>
      </c>
      <c r="L3" s="25" t="s">
        <v>47</v>
      </c>
      <c r="N3" s="2" t="s">
        <v>60</v>
      </c>
      <c r="O3" s="3"/>
      <c r="P3" s="3"/>
      <c r="Q3" s="3"/>
      <c r="R3" s="3"/>
      <c r="S3" s="4"/>
    </row>
    <row r="4" spans="1:27" x14ac:dyDescent="0.25">
      <c r="B4" s="5" t="s">
        <v>64</v>
      </c>
      <c r="I4" s="6"/>
      <c r="K4" s="24" t="s">
        <v>21</v>
      </c>
      <c r="L4" s="25">
        <v>10</v>
      </c>
      <c r="N4" s="5" t="s">
        <v>61</v>
      </c>
      <c r="S4" s="6"/>
    </row>
    <row r="5" spans="1:27" x14ac:dyDescent="0.25">
      <c r="B5" s="5" t="s">
        <v>63</v>
      </c>
      <c r="I5" s="6"/>
      <c r="K5" s="24" t="s">
        <v>19</v>
      </c>
      <c r="L5" s="25">
        <v>0</v>
      </c>
      <c r="N5" s="5" t="s">
        <v>62</v>
      </c>
      <c r="S5" s="6"/>
    </row>
    <row r="6" spans="1:27" ht="15.75" thickBot="1" x14ac:dyDescent="0.3">
      <c r="B6" s="23" t="s">
        <v>53</v>
      </c>
      <c r="I6" s="6"/>
      <c r="K6" s="26" t="s">
        <v>20</v>
      </c>
      <c r="L6" s="27">
        <v>5</v>
      </c>
      <c r="N6" s="5" t="s">
        <v>59</v>
      </c>
      <c r="S6" s="6"/>
    </row>
    <row r="7" spans="1:27" ht="15.75" thickBot="1" x14ac:dyDescent="0.3">
      <c r="B7" s="5" t="s">
        <v>54</v>
      </c>
      <c r="I7" s="6"/>
      <c r="N7" s="5"/>
      <c r="P7" s="22" t="s">
        <v>12</v>
      </c>
      <c r="Q7" s="22" t="s">
        <v>13</v>
      </c>
      <c r="R7" s="22" t="s">
        <v>14</v>
      </c>
      <c r="S7" s="6"/>
      <c r="Y7" s="22"/>
      <c r="Z7" s="22"/>
      <c r="AA7" s="22"/>
    </row>
    <row r="8" spans="1:27" ht="15.75" thickBot="1" x14ac:dyDescent="0.3">
      <c r="B8" s="5" t="s">
        <v>51</v>
      </c>
      <c r="I8" s="6"/>
      <c r="N8" s="5"/>
      <c r="O8" s="22" t="s">
        <v>22</v>
      </c>
      <c r="P8" s="36">
        <f>COUNTIFS($D$16:$D$32,$O8,$H$16:$H$32,P$7)</f>
        <v>2</v>
      </c>
      <c r="Q8" s="33">
        <f t="shared" ref="Q8:R8" si="0">COUNTIFS($D$16:$D$32,$O8,$H$16:$H$32,Q$7)</f>
        <v>0</v>
      </c>
      <c r="R8" s="33">
        <f t="shared" si="0"/>
        <v>1</v>
      </c>
      <c r="S8" s="6"/>
      <c r="Y8" s="33"/>
      <c r="Z8" s="33"/>
      <c r="AA8" s="33"/>
    </row>
    <row r="9" spans="1:27" x14ac:dyDescent="0.25">
      <c r="B9" s="5" t="s">
        <v>52</v>
      </c>
      <c r="I9" s="6"/>
      <c r="N9" s="5"/>
      <c r="O9" s="22" t="s">
        <v>23</v>
      </c>
      <c r="P9" s="33">
        <f t="shared" ref="P9:R11" si="1">COUNTIFS($D$16:$D$32,$O9,$H$16:$H$32,P$7)</f>
        <v>1</v>
      </c>
      <c r="Q9" s="33">
        <f t="shared" si="1"/>
        <v>2</v>
      </c>
      <c r="R9" s="33">
        <f t="shared" si="1"/>
        <v>2</v>
      </c>
      <c r="S9" s="6"/>
      <c r="Y9" s="33"/>
      <c r="Z9" s="33"/>
      <c r="AA9" s="33"/>
    </row>
    <row r="10" spans="1:27" ht="15.75" thickBot="1" x14ac:dyDescent="0.3">
      <c r="B10" s="28" t="s">
        <v>58</v>
      </c>
      <c r="C10" s="8"/>
      <c r="D10" s="8"/>
      <c r="E10" s="8"/>
      <c r="F10" s="8"/>
      <c r="G10" s="8"/>
      <c r="H10" s="8"/>
      <c r="I10" s="9"/>
      <c r="N10" s="23"/>
      <c r="O10" s="22" t="s">
        <v>24</v>
      </c>
      <c r="P10" s="33">
        <f t="shared" si="1"/>
        <v>0</v>
      </c>
      <c r="Q10" s="33">
        <f t="shared" si="1"/>
        <v>1</v>
      </c>
      <c r="R10" s="33">
        <f t="shared" si="1"/>
        <v>1</v>
      </c>
      <c r="S10" s="6"/>
      <c r="Y10" s="33"/>
      <c r="Z10" s="33"/>
      <c r="AA10" s="33"/>
    </row>
    <row r="11" spans="1:27" x14ac:dyDescent="0.25">
      <c r="B11" s="22"/>
      <c r="E11" t="s">
        <v>74</v>
      </c>
      <c r="N11" s="23"/>
      <c r="O11" s="22" t="s">
        <v>33</v>
      </c>
      <c r="P11" s="33">
        <f t="shared" si="1"/>
        <v>5</v>
      </c>
      <c r="Q11" s="33">
        <f t="shared" si="1"/>
        <v>1</v>
      </c>
      <c r="R11" s="33">
        <f t="shared" si="1"/>
        <v>1</v>
      </c>
      <c r="S11" s="6"/>
      <c r="Y11" s="33"/>
      <c r="Z11" s="33"/>
      <c r="AA11" s="33"/>
    </row>
    <row r="12" spans="1:27" ht="15.75" thickBot="1" x14ac:dyDescent="0.3">
      <c r="B12" s="40"/>
      <c r="C12" s="39"/>
      <c r="E12" t="s">
        <v>75</v>
      </c>
      <c r="N12" s="7"/>
      <c r="O12" s="8"/>
      <c r="P12" s="8"/>
      <c r="Q12" s="8"/>
      <c r="R12" s="8"/>
      <c r="S12" s="9"/>
    </row>
    <row r="13" spans="1:27" ht="15.75" thickBot="1" x14ac:dyDescent="0.3">
      <c r="E13" t="s">
        <v>76</v>
      </c>
    </row>
    <row r="14" spans="1:27" x14ac:dyDescent="0.25">
      <c r="B14" s="15" t="s">
        <v>26</v>
      </c>
      <c r="C14" s="16"/>
      <c r="D14" s="16"/>
      <c r="E14" s="16"/>
      <c r="F14" s="16"/>
      <c r="G14" s="16"/>
      <c r="H14" s="16"/>
      <c r="I14" s="15" t="s">
        <v>27</v>
      </c>
      <c r="J14" s="16"/>
      <c r="K14" s="16"/>
      <c r="L14" s="16"/>
      <c r="M14" s="15" t="s">
        <v>29</v>
      </c>
      <c r="N14" s="15" t="s">
        <v>31</v>
      </c>
      <c r="O14" s="15" t="s">
        <v>32</v>
      </c>
      <c r="P14" s="15" t="s">
        <v>39</v>
      </c>
      <c r="Q14" s="15" t="s">
        <v>40</v>
      </c>
      <c r="R14" s="15" t="s">
        <v>41</v>
      </c>
      <c r="S14" s="15" t="s">
        <v>42</v>
      </c>
    </row>
    <row r="15" spans="1:27" ht="105.75" thickBot="1" x14ac:dyDescent="0.3">
      <c r="B15" s="18" t="s">
        <v>16</v>
      </c>
      <c r="C15" s="16" t="s">
        <v>17</v>
      </c>
      <c r="D15" s="16" t="s">
        <v>18</v>
      </c>
      <c r="E15" s="16" t="s">
        <v>0</v>
      </c>
      <c r="F15" s="16" t="s">
        <v>5</v>
      </c>
      <c r="G15" s="16" t="s">
        <v>7</v>
      </c>
      <c r="H15" s="16" t="s">
        <v>44</v>
      </c>
      <c r="I15" s="19" t="s">
        <v>94</v>
      </c>
      <c r="J15" s="17" t="s">
        <v>25</v>
      </c>
      <c r="K15" s="17" t="s">
        <v>45</v>
      </c>
      <c r="L15" s="17" t="s">
        <v>15</v>
      </c>
      <c r="M15" s="19" t="s">
        <v>95</v>
      </c>
      <c r="N15" s="18" t="s">
        <v>28</v>
      </c>
      <c r="O15" s="19" t="s">
        <v>30</v>
      </c>
      <c r="P15" s="19" t="s">
        <v>30</v>
      </c>
      <c r="Q15" s="19" t="s">
        <v>30</v>
      </c>
      <c r="R15" s="19" t="s">
        <v>48</v>
      </c>
      <c r="S15" s="19" t="s">
        <v>49</v>
      </c>
    </row>
    <row r="16" spans="1:27" ht="15.75" thickBot="1" x14ac:dyDescent="0.3">
      <c r="B16" s="36" t="str">
        <f>LEFT(C16,1)&amp;"-"&amp;LEFT(D16,2)&amp;"-"&amp;F16&amp;"-"&amp;LEFT(H16,2)</f>
        <v>g-ck-s-ja</v>
      </c>
      <c r="C16" s="10" t="s">
        <v>20</v>
      </c>
      <c r="D16" s="10" t="s">
        <v>33</v>
      </c>
      <c r="E16" s="10" t="s">
        <v>4</v>
      </c>
      <c r="F16" s="10" t="s">
        <v>6</v>
      </c>
      <c r="G16" s="10" t="s">
        <v>11</v>
      </c>
      <c r="H16" s="10" t="s">
        <v>14</v>
      </c>
      <c r="I16" s="38">
        <v>89.34</v>
      </c>
      <c r="J16" s="20">
        <v>45214</v>
      </c>
      <c r="K16" s="10">
        <v>363</v>
      </c>
      <c r="L16" s="10">
        <v>18</v>
      </c>
      <c r="M16" s="44">
        <f>DATE(2024,3,26)-J16</f>
        <v>163</v>
      </c>
      <c r="N16" s="36" t="str">
        <f>IF(L16&lt;10%*K16,"reorder","")</f>
        <v>reorder</v>
      </c>
      <c r="O16" s="36" cm="1">
        <f t="array" ref="O16">_xlfn.IFS(M16&gt;100,25%,M16&gt;50,50%,M16&gt;25,75%,TRUE,1)*I16</f>
        <v>22.335000000000001</v>
      </c>
      <c r="P16" s="36">
        <f>IF(AND(D16="hilfigger",OR(E16="mens",E16="womens")),50%,1)*I16</f>
        <v>89.34</v>
      </c>
      <c r="Q16" s="36">
        <f>IF(M16&gt;AVERAGE($M$16:$M$32),50%,1)*I16</f>
        <v>44.67</v>
      </c>
      <c r="R16" s="36">
        <f>AVERAGEIFS($I$16:$I$32,$H$16:$H$32,H16)</f>
        <v>93.537999999999997</v>
      </c>
      <c r="S16" s="36">
        <f t="shared" ref="S16:S32" si="2">I16-VLOOKUP(C16,$K$4:$L$6,2,FALSE)</f>
        <v>84.34</v>
      </c>
      <c r="V16" s="1"/>
    </row>
    <row r="17" spans="2:19" x14ac:dyDescent="0.25">
      <c r="B17" s="11" t="str">
        <f t="shared" ref="B17:B32" si="3">LEFT(C17,1)&amp;"-"&amp;LEFT(D17,2)&amp;"-"&amp;F17&amp;"-"&amp;LEFT(H17,2)</f>
        <v>y-ck-xl-sh</v>
      </c>
      <c r="C17" s="33" t="s">
        <v>21</v>
      </c>
      <c r="D17" s="33" t="s">
        <v>33</v>
      </c>
      <c r="E17" s="33" t="s">
        <v>3</v>
      </c>
      <c r="F17" s="33" t="s">
        <v>36</v>
      </c>
      <c r="G17" s="33" t="s">
        <v>8</v>
      </c>
      <c r="H17" s="33" t="s">
        <v>12</v>
      </c>
      <c r="I17" s="33">
        <v>85.12</v>
      </c>
      <c r="J17" s="34">
        <v>45276</v>
      </c>
      <c r="K17" s="33">
        <v>378</v>
      </c>
      <c r="L17" s="33">
        <v>9</v>
      </c>
      <c r="M17" s="41">
        <f>DATE(2024,3,26)-J17</f>
        <v>101</v>
      </c>
      <c r="N17" s="33" t="str">
        <f t="shared" ref="N17:N32" si="4">IF(L17&lt;10%*K17,"reorder","")</f>
        <v>reorder</v>
      </c>
      <c r="O17" s="35" cm="1">
        <f t="array" ref="O17">_xlfn.IFS(M17&gt;100,25%,M17&gt;50,50%,M17&gt;25,75%,TRUE,1)*I17</f>
        <v>21.28</v>
      </c>
      <c r="P17" s="35">
        <f t="shared" ref="P17:P32" si="5">IF(AND(D17="hilfigger",OR(E17="mens",E17="womens")),50%,1)*I17</f>
        <v>85.12</v>
      </c>
      <c r="Q17" s="35">
        <f t="shared" ref="Q17:Q32" si="6">IF(M17&gt;AVERAGE($M$16:$M$32),50%,1)*I17</f>
        <v>85.12</v>
      </c>
      <c r="R17" s="35">
        <f t="shared" ref="R17:R32" si="7">AVERAGEIFS($I$16:$I$32,$H$16:$H$32,H17)</f>
        <v>98.320000000000007</v>
      </c>
      <c r="S17" s="30">
        <f t="shared" si="2"/>
        <v>75.12</v>
      </c>
    </row>
    <row r="18" spans="2:19" x14ac:dyDescent="0.25">
      <c r="B18" s="11" t="str">
        <f t="shared" si="3"/>
        <v>y-bb-m-ja</v>
      </c>
      <c r="C18" s="33" t="s">
        <v>21</v>
      </c>
      <c r="D18" s="33" t="s">
        <v>22</v>
      </c>
      <c r="E18" s="33" t="s">
        <v>4</v>
      </c>
      <c r="F18" s="33" t="s">
        <v>34</v>
      </c>
      <c r="G18" s="33" t="s">
        <v>11</v>
      </c>
      <c r="H18" s="33" t="s">
        <v>14</v>
      </c>
      <c r="I18" s="33">
        <v>57.06</v>
      </c>
      <c r="J18" s="34">
        <v>45254</v>
      </c>
      <c r="K18" s="33">
        <v>377</v>
      </c>
      <c r="L18" s="33">
        <v>15</v>
      </c>
      <c r="M18" s="41">
        <f t="shared" ref="M18:M32" si="8">DATE(2024,3,26)-J18</f>
        <v>123</v>
      </c>
      <c r="N18" s="33" t="str">
        <f t="shared" si="4"/>
        <v>reorder</v>
      </c>
      <c r="O18" s="35" cm="1">
        <f t="array" ref="O18">_xlfn.IFS(M18&gt;100,25%,M18&gt;50,50%,M18&gt;25,75%,TRUE,1)*I18</f>
        <v>14.265000000000001</v>
      </c>
      <c r="P18" s="35">
        <f t="shared" si="5"/>
        <v>57.06</v>
      </c>
      <c r="Q18" s="35">
        <f t="shared" si="6"/>
        <v>28.53</v>
      </c>
      <c r="R18" s="35">
        <f t="shared" si="7"/>
        <v>93.537999999999997</v>
      </c>
      <c r="S18" s="30">
        <f t="shared" si="2"/>
        <v>47.06</v>
      </c>
    </row>
    <row r="19" spans="2:19" x14ac:dyDescent="0.25">
      <c r="B19" s="11" t="str">
        <f t="shared" si="3"/>
        <v>y-bb-s-sh</v>
      </c>
      <c r="C19" s="33" t="s">
        <v>21</v>
      </c>
      <c r="D19" s="33" t="s">
        <v>22</v>
      </c>
      <c r="E19" s="33" t="s">
        <v>1</v>
      </c>
      <c r="F19" s="33" t="s">
        <v>6</v>
      </c>
      <c r="G19" s="33" t="s">
        <v>10</v>
      </c>
      <c r="H19" s="33" t="s">
        <v>12</v>
      </c>
      <c r="I19" s="33">
        <v>60.63</v>
      </c>
      <c r="J19" s="34">
        <v>45324</v>
      </c>
      <c r="K19" s="33">
        <v>59</v>
      </c>
      <c r="L19" s="33">
        <v>8</v>
      </c>
      <c r="M19" s="41">
        <f t="shared" si="8"/>
        <v>53</v>
      </c>
      <c r="N19" s="33" t="str">
        <f t="shared" si="4"/>
        <v/>
      </c>
      <c r="O19" s="35" cm="1">
        <f t="array" ref="O19">_xlfn.IFS(M19&gt;100,25%,M19&gt;50,50%,M19&gt;25,75%,TRUE,1)*I19</f>
        <v>30.315000000000001</v>
      </c>
      <c r="P19" s="35">
        <f t="shared" si="5"/>
        <v>60.63</v>
      </c>
      <c r="Q19" s="35">
        <f t="shared" si="6"/>
        <v>60.63</v>
      </c>
      <c r="R19" s="35">
        <f t="shared" si="7"/>
        <v>98.320000000000007</v>
      </c>
      <c r="S19" s="30">
        <f t="shared" si="2"/>
        <v>50.63</v>
      </c>
    </row>
    <row r="20" spans="2:19" x14ac:dyDescent="0.25">
      <c r="B20" s="11" t="str">
        <f t="shared" si="3"/>
        <v>y-to-s-ja</v>
      </c>
      <c r="C20" s="33" t="s">
        <v>21</v>
      </c>
      <c r="D20" s="33" t="s">
        <v>23</v>
      </c>
      <c r="E20" s="33" t="s">
        <v>1</v>
      </c>
      <c r="F20" s="33" t="s">
        <v>6</v>
      </c>
      <c r="G20" s="33" t="s">
        <v>11</v>
      </c>
      <c r="H20" s="33" t="s">
        <v>14</v>
      </c>
      <c r="I20" s="33">
        <v>64.760000000000005</v>
      </c>
      <c r="J20" s="34">
        <v>45265</v>
      </c>
      <c r="K20" s="33">
        <v>57</v>
      </c>
      <c r="L20" s="33">
        <v>9</v>
      </c>
      <c r="M20" s="41">
        <f t="shared" si="8"/>
        <v>112</v>
      </c>
      <c r="N20" s="33" t="str">
        <f t="shared" si="4"/>
        <v/>
      </c>
      <c r="O20" s="35" cm="1">
        <f t="array" ref="O20">_xlfn.IFS(M20&gt;100,25%,M20&gt;50,50%,M20&gt;25,75%,TRUE,1)*I20</f>
        <v>16.190000000000001</v>
      </c>
      <c r="P20" s="35">
        <f t="shared" si="5"/>
        <v>64.760000000000005</v>
      </c>
      <c r="Q20" s="35">
        <f t="shared" si="6"/>
        <v>32.380000000000003</v>
      </c>
      <c r="R20" s="35">
        <f t="shared" si="7"/>
        <v>93.537999999999997</v>
      </c>
      <c r="S20" s="30">
        <f t="shared" si="2"/>
        <v>54.760000000000005</v>
      </c>
    </row>
    <row r="21" spans="2:19" x14ac:dyDescent="0.25">
      <c r="B21" s="11" t="str">
        <f t="shared" si="3"/>
        <v>y-to-m-pa</v>
      </c>
      <c r="C21" s="33" t="s">
        <v>21</v>
      </c>
      <c r="D21" s="33" t="s">
        <v>23</v>
      </c>
      <c r="E21" s="33" t="s">
        <v>2</v>
      </c>
      <c r="F21" s="33" t="s">
        <v>34</v>
      </c>
      <c r="G21" s="33" t="s">
        <v>10</v>
      </c>
      <c r="H21" s="33" t="s">
        <v>13</v>
      </c>
      <c r="I21" s="33">
        <v>62.71</v>
      </c>
      <c r="J21" s="34">
        <v>45349</v>
      </c>
      <c r="K21" s="33">
        <v>391</v>
      </c>
      <c r="L21" s="33">
        <v>10</v>
      </c>
      <c r="M21" s="41">
        <f t="shared" si="8"/>
        <v>28</v>
      </c>
      <c r="N21" s="33" t="str">
        <f t="shared" si="4"/>
        <v>reorder</v>
      </c>
      <c r="O21" s="35" cm="1">
        <f t="array" ref="O21">_xlfn.IFS(M21&gt;100,25%,M21&gt;50,50%,M21&gt;25,75%,TRUE,1)*I21</f>
        <v>47.032499999999999</v>
      </c>
      <c r="P21" s="35">
        <f t="shared" si="5"/>
        <v>62.71</v>
      </c>
      <c r="Q21" s="35">
        <f t="shared" si="6"/>
        <v>62.71</v>
      </c>
      <c r="R21" s="35">
        <f t="shared" si="7"/>
        <v>91.4375</v>
      </c>
      <c r="S21" s="30">
        <f t="shared" si="2"/>
        <v>52.71</v>
      </c>
    </row>
    <row r="22" spans="2:19" x14ac:dyDescent="0.25">
      <c r="B22" s="11" t="str">
        <f t="shared" si="3"/>
        <v>y-ck-xl-pa</v>
      </c>
      <c r="C22" s="33" t="s">
        <v>21</v>
      </c>
      <c r="D22" s="33" t="s">
        <v>33</v>
      </c>
      <c r="E22" s="33" t="s">
        <v>4</v>
      </c>
      <c r="F22" s="33" t="s">
        <v>36</v>
      </c>
      <c r="G22" s="33" t="s">
        <v>10</v>
      </c>
      <c r="H22" s="33" t="s">
        <v>13</v>
      </c>
      <c r="I22" s="33">
        <v>94.23</v>
      </c>
      <c r="J22" s="34">
        <v>45201</v>
      </c>
      <c r="K22" s="33">
        <v>147</v>
      </c>
      <c r="L22" s="33">
        <v>14</v>
      </c>
      <c r="M22" s="41">
        <f t="shared" si="8"/>
        <v>176</v>
      </c>
      <c r="N22" s="33" t="str">
        <f t="shared" si="4"/>
        <v>reorder</v>
      </c>
      <c r="O22" s="35" cm="1">
        <f t="array" ref="O22">_xlfn.IFS(M22&gt;100,25%,M22&gt;50,50%,M22&gt;25,75%,TRUE,1)*I22</f>
        <v>23.557500000000001</v>
      </c>
      <c r="P22" s="35">
        <f t="shared" si="5"/>
        <v>94.23</v>
      </c>
      <c r="Q22" s="35">
        <f t="shared" si="6"/>
        <v>47.115000000000002</v>
      </c>
      <c r="R22" s="35">
        <f t="shared" si="7"/>
        <v>91.4375</v>
      </c>
      <c r="S22" s="30">
        <f t="shared" si="2"/>
        <v>84.23</v>
      </c>
    </row>
    <row r="23" spans="2:19" x14ac:dyDescent="0.25">
      <c r="B23" s="11" t="str">
        <f t="shared" si="3"/>
        <v>g-ck-xl-sh</v>
      </c>
      <c r="C23" s="33" t="s">
        <v>20</v>
      </c>
      <c r="D23" s="33" t="s">
        <v>33</v>
      </c>
      <c r="E23" s="33" t="s">
        <v>2</v>
      </c>
      <c r="F23" s="33" t="s">
        <v>36</v>
      </c>
      <c r="G23" s="33" t="s">
        <v>9</v>
      </c>
      <c r="H23" s="33" t="s">
        <v>12</v>
      </c>
      <c r="I23" s="33">
        <v>113.56</v>
      </c>
      <c r="J23" s="34">
        <v>45266</v>
      </c>
      <c r="K23" s="33">
        <v>386</v>
      </c>
      <c r="L23" s="33">
        <v>5</v>
      </c>
      <c r="M23" s="41">
        <f t="shared" si="8"/>
        <v>111</v>
      </c>
      <c r="N23" s="33" t="str">
        <f t="shared" si="4"/>
        <v>reorder</v>
      </c>
      <c r="O23" s="35" cm="1">
        <f t="array" ref="O23">_xlfn.IFS(M23&gt;100,25%,M23&gt;50,50%,M23&gt;25,75%,TRUE,1)*I23</f>
        <v>28.39</v>
      </c>
      <c r="P23" s="35">
        <f t="shared" si="5"/>
        <v>113.56</v>
      </c>
      <c r="Q23" s="35">
        <f t="shared" si="6"/>
        <v>113.56</v>
      </c>
      <c r="R23" s="35">
        <f t="shared" si="7"/>
        <v>98.320000000000007</v>
      </c>
      <c r="S23" s="30">
        <f t="shared" si="2"/>
        <v>108.56</v>
      </c>
    </row>
    <row r="24" spans="2:19" x14ac:dyDescent="0.25">
      <c r="B24" s="11" t="str">
        <f t="shared" si="3"/>
        <v>y-to-s-pa</v>
      </c>
      <c r="C24" s="33" t="s">
        <v>21</v>
      </c>
      <c r="D24" s="33" t="s">
        <v>23</v>
      </c>
      <c r="E24" s="33" t="s">
        <v>4</v>
      </c>
      <c r="F24" s="33" t="s">
        <v>6</v>
      </c>
      <c r="G24" s="33" t="s">
        <v>9</v>
      </c>
      <c r="H24" s="33" t="s">
        <v>13</v>
      </c>
      <c r="I24" s="33">
        <v>120.15</v>
      </c>
      <c r="J24" s="34">
        <v>45316</v>
      </c>
      <c r="K24" s="33">
        <v>65</v>
      </c>
      <c r="L24" s="33">
        <v>14</v>
      </c>
      <c r="M24" s="41">
        <f t="shared" si="8"/>
        <v>61</v>
      </c>
      <c r="N24" s="33" t="str">
        <f t="shared" si="4"/>
        <v/>
      </c>
      <c r="O24" s="35" cm="1">
        <f t="array" ref="O24">_xlfn.IFS(M24&gt;100,25%,M24&gt;50,50%,M24&gt;25,75%,TRUE,1)*I24</f>
        <v>60.075000000000003</v>
      </c>
      <c r="P24" s="35">
        <f t="shared" si="5"/>
        <v>120.15</v>
      </c>
      <c r="Q24" s="35">
        <f t="shared" si="6"/>
        <v>120.15</v>
      </c>
      <c r="R24" s="35">
        <f t="shared" si="7"/>
        <v>91.4375</v>
      </c>
      <c r="S24" s="30">
        <f t="shared" si="2"/>
        <v>110.15</v>
      </c>
    </row>
    <row r="25" spans="2:19" x14ac:dyDescent="0.25">
      <c r="B25" s="11" t="str">
        <f t="shared" si="3"/>
        <v>y-hi-xl-ja</v>
      </c>
      <c r="C25" s="33" t="s">
        <v>21</v>
      </c>
      <c r="D25" s="33" t="s">
        <v>24</v>
      </c>
      <c r="E25" s="33" t="s">
        <v>1</v>
      </c>
      <c r="F25" s="33" t="s">
        <v>36</v>
      </c>
      <c r="G25" s="33" t="s">
        <v>11</v>
      </c>
      <c r="H25" s="33" t="s">
        <v>14</v>
      </c>
      <c r="I25" s="33">
        <v>128.96</v>
      </c>
      <c r="J25" s="34">
        <v>45348</v>
      </c>
      <c r="K25" s="33">
        <v>444</v>
      </c>
      <c r="L25" s="33">
        <v>20</v>
      </c>
      <c r="M25" s="41">
        <f t="shared" si="8"/>
        <v>29</v>
      </c>
      <c r="N25" s="33" t="str">
        <f t="shared" si="4"/>
        <v>reorder</v>
      </c>
      <c r="O25" s="35" cm="1">
        <f t="array" ref="O25">_xlfn.IFS(M25&gt;100,25%,M25&gt;50,50%,M25&gt;25,75%,TRUE,1)*I25</f>
        <v>96.72</v>
      </c>
      <c r="P25" s="35">
        <f t="shared" si="5"/>
        <v>64.48</v>
      </c>
      <c r="Q25" s="35">
        <f t="shared" si="6"/>
        <v>128.96</v>
      </c>
      <c r="R25" s="35">
        <f t="shared" si="7"/>
        <v>93.537999999999997</v>
      </c>
      <c r="S25" s="30">
        <f t="shared" si="2"/>
        <v>118.96000000000001</v>
      </c>
    </row>
    <row r="26" spans="2:19" x14ac:dyDescent="0.25">
      <c r="B26" s="11" t="str">
        <f t="shared" si="3"/>
        <v>y-ck-xl-sh</v>
      </c>
      <c r="C26" s="33" t="s">
        <v>21</v>
      </c>
      <c r="D26" s="33" t="s">
        <v>33</v>
      </c>
      <c r="E26" s="33" t="s">
        <v>3</v>
      </c>
      <c r="F26" s="33" t="s">
        <v>36</v>
      </c>
      <c r="G26" s="33" t="s">
        <v>8</v>
      </c>
      <c r="H26" s="33" t="s">
        <v>12</v>
      </c>
      <c r="I26" s="33">
        <v>121.76</v>
      </c>
      <c r="J26" s="34">
        <v>45235</v>
      </c>
      <c r="K26" s="33">
        <v>50</v>
      </c>
      <c r="L26" s="33">
        <v>14</v>
      </c>
      <c r="M26" s="41">
        <f t="shared" si="8"/>
        <v>142</v>
      </c>
      <c r="N26" s="33" t="str">
        <f t="shared" si="4"/>
        <v/>
      </c>
      <c r="O26" s="35" cm="1">
        <f t="array" ref="O26">_xlfn.IFS(M26&gt;100,25%,M26&gt;50,50%,M26&gt;25,75%,TRUE,1)*I26</f>
        <v>30.44</v>
      </c>
      <c r="P26" s="35">
        <f t="shared" si="5"/>
        <v>121.76</v>
      </c>
      <c r="Q26" s="35">
        <f t="shared" si="6"/>
        <v>60.88</v>
      </c>
      <c r="R26" s="35">
        <f t="shared" si="7"/>
        <v>98.320000000000007</v>
      </c>
      <c r="S26" s="30">
        <f t="shared" si="2"/>
        <v>111.76</v>
      </c>
    </row>
    <row r="27" spans="2:19" x14ac:dyDescent="0.25">
      <c r="B27" s="11" t="str">
        <f t="shared" si="3"/>
        <v>b-ck-s-sh</v>
      </c>
      <c r="C27" s="33" t="s">
        <v>19</v>
      </c>
      <c r="D27" s="33" t="s">
        <v>33</v>
      </c>
      <c r="E27" s="33" t="s">
        <v>1</v>
      </c>
      <c r="F27" s="33" t="s">
        <v>6</v>
      </c>
      <c r="G27" s="33" t="s">
        <v>10</v>
      </c>
      <c r="H27" s="33" t="s">
        <v>12</v>
      </c>
      <c r="I27" s="33">
        <v>102.26</v>
      </c>
      <c r="J27" s="34">
        <v>45203</v>
      </c>
      <c r="K27" s="33">
        <v>185</v>
      </c>
      <c r="L27" s="33">
        <v>12</v>
      </c>
      <c r="M27" s="41">
        <f t="shared" si="8"/>
        <v>174</v>
      </c>
      <c r="N27" s="33" t="str">
        <f t="shared" si="4"/>
        <v>reorder</v>
      </c>
      <c r="O27" s="35" cm="1">
        <f t="array" ref="O27">_xlfn.IFS(M27&gt;100,25%,M27&gt;50,50%,M27&gt;25,75%,TRUE,1)*I27</f>
        <v>25.565000000000001</v>
      </c>
      <c r="P27" s="35">
        <f t="shared" si="5"/>
        <v>102.26</v>
      </c>
      <c r="Q27" s="35">
        <f t="shared" si="6"/>
        <v>51.13</v>
      </c>
      <c r="R27" s="35">
        <f t="shared" si="7"/>
        <v>98.320000000000007</v>
      </c>
      <c r="S27" s="30">
        <f t="shared" si="2"/>
        <v>102.26</v>
      </c>
    </row>
    <row r="28" spans="2:19" x14ac:dyDescent="0.25">
      <c r="B28" s="11" t="str">
        <f t="shared" si="3"/>
        <v>g-bb-m-sh</v>
      </c>
      <c r="C28" s="33" t="s">
        <v>20</v>
      </c>
      <c r="D28" s="33" t="s">
        <v>22</v>
      </c>
      <c r="E28" s="33" t="s">
        <v>4</v>
      </c>
      <c r="F28" s="33" t="s">
        <v>34</v>
      </c>
      <c r="G28" s="33" t="s">
        <v>8</v>
      </c>
      <c r="H28" s="33" t="s">
        <v>12</v>
      </c>
      <c r="I28" s="33">
        <v>58.66</v>
      </c>
      <c r="J28" s="34">
        <v>45279</v>
      </c>
      <c r="K28" s="33">
        <v>125</v>
      </c>
      <c r="L28" s="33">
        <v>20</v>
      </c>
      <c r="M28" s="41">
        <f t="shared" si="8"/>
        <v>98</v>
      </c>
      <c r="N28" s="33" t="str">
        <f t="shared" si="4"/>
        <v/>
      </c>
      <c r="O28" s="35" cm="1">
        <f t="array" ref="O28">_xlfn.IFS(M28&gt;100,25%,M28&gt;50,50%,M28&gt;25,75%,TRUE,1)*I28</f>
        <v>29.33</v>
      </c>
      <c r="P28" s="35">
        <f t="shared" si="5"/>
        <v>58.66</v>
      </c>
      <c r="Q28" s="35">
        <f t="shared" si="6"/>
        <v>58.66</v>
      </c>
      <c r="R28" s="35">
        <f t="shared" si="7"/>
        <v>98.320000000000007</v>
      </c>
      <c r="S28" s="30">
        <f t="shared" si="2"/>
        <v>53.66</v>
      </c>
    </row>
    <row r="29" spans="2:19" x14ac:dyDescent="0.25">
      <c r="B29" s="11" t="str">
        <f t="shared" si="3"/>
        <v>g-to-xxl-ja</v>
      </c>
      <c r="C29" s="33" t="s">
        <v>20</v>
      </c>
      <c r="D29" s="33" t="s">
        <v>23</v>
      </c>
      <c r="E29" s="33" t="s">
        <v>3</v>
      </c>
      <c r="F29" s="33" t="s">
        <v>37</v>
      </c>
      <c r="G29" s="33" t="s">
        <v>9</v>
      </c>
      <c r="H29" s="33" t="s">
        <v>14</v>
      </c>
      <c r="I29" s="33">
        <v>127.57</v>
      </c>
      <c r="J29" s="34">
        <v>45242</v>
      </c>
      <c r="K29" s="33">
        <v>48</v>
      </c>
      <c r="L29" s="33">
        <v>9</v>
      </c>
      <c r="M29" s="41">
        <f t="shared" si="8"/>
        <v>135</v>
      </c>
      <c r="N29" s="33" t="str">
        <f t="shared" si="4"/>
        <v/>
      </c>
      <c r="O29" s="35" cm="1">
        <f t="array" ref="O29">_xlfn.IFS(M29&gt;100,25%,M29&gt;50,50%,M29&gt;25,75%,TRUE,1)*I29</f>
        <v>31.892499999999998</v>
      </c>
      <c r="P29" s="35">
        <f t="shared" si="5"/>
        <v>127.57</v>
      </c>
      <c r="Q29" s="35">
        <f t="shared" si="6"/>
        <v>63.784999999999997</v>
      </c>
      <c r="R29" s="35">
        <f t="shared" si="7"/>
        <v>93.537999999999997</v>
      </c>
      <c r="S29" s="30">
        <f t="shared" si="2"/>
        <v>122.57</v>
      </c>
    </row>
    <row r="30" spans="2:19" x14ac:dyDescent="0.25">
      <c r="B30" s="11" t="str">
        <f t="shared" si="3"/>
        <v>y-to-s-sh</v>
      </c>
      <c r="C30" s="33" t="s">
        <v>21</v>
      </c>
      <c r="D30" s="33" t="s">
        <v>23</v>
      </c>
      <c r="E30" s="33" t="s">
        <v>4</v>
      </c>
      <c r="F30" s="33" t="s">
        <v>6</v>
      </c>
      <c r="G30" s="33" t="s">
        <v>10</v>
      </c>
      <c r="H30" s="33" t="s">
        <v>12</v>
      </c>
      <c r="I30" s="33">
        <v>145.72999999999999</v>
      </c>
      <c r="J30" s="34">
        <v>45270</v>
      </c>
      <c r="K30" s="33">
        <v>27</v>
      </c>
      <c r="L30" s="33">
        <v>14</v>
      </c>
      <c r="M30" s="41">
        <f t="shared" si="8"/>
        <v>107</v>
      </c>
      <c r="N30" s="33" t="str">
        <f t="shared" si="4"/>
        <v/>
      </c>
      <c r="O30" s="35" cm="1">
        <f t="array" ref="O30">_xlfn.IFS(M30&gt;100,25%,M30&gt;50,50%,M30&gt;25,75%,TRUE,1)*I30</f>
        <v>36.432499999999997</v>
      </c>
      <c r="P30" s="35">
        <f t="shared" si="5"/>
        <v>145.72999999999999</v>
      </c>
      <c r="Q30" s="35">
        <f t="shared" si="6"/>
        <v>145.72999999999999</v>
      </c>
      <c r="R30" s="35">
        <f t="shared" si="7"/>
        <v>98.320000000000007</v>
      </c>
      <c r="S30" s="30">
        <f t="shared" si="2"/>
        <v>135.72999999999999</v>
      </c>
    </row>
    <row r="31" spans="2:19" x14ac:dyDescent="0.25">
      <c r="B31" s="11" t="str">
        <f t="shared" si="3"/>
        <v>b-hi-l-pa</v>
      </c>
      <c r="C31" s="33" t="s">
        <v>19</v>
      </c>
      <c r="D31" s="33" t="s">
        <v>24</v>
      </c>
      <c r="E31" s="33" t="s">
        <v>2</v>
      </c>
      <c r="F31" s="33" t="s">
        <v>35</v>
      </c>
      <c r="G31" s="33" t="s">
        <v>9</v>
      </c>
      <c r="H31" s="33" t="s">
        <v>13</v>
      </c>
      <c r="I31" s="33">
        <v>88.66</v>
      </c>
      <c r="J31" s="34">
        <v>45243</v>
      </c>
      <c r="K31" s="33">
        <v>412</v>
      </c>
      <c r="L31" s="33">
        <v>15</v>
      </c>
      <c r="M31" s="41">
        <f t="shared" si="8"/>
        <v>134</v>
      </c>
      <c r="N31" s="33" t="str">
        <f t="shared" si="4"/>
        <v>reorder</v>
      </c>
      <c r="O31" s="35" cm="1">
        <f t="array" ref="O31">_xlfn.IFS(M31&gt;100,25%,M31&gt;50,50%,M31&gt;25,75%,TRUE,1)*I31</f>
        <v>22.164999999999999</v>
      </c>
      <c r="P31" s="35">
        <f t="shared" si="5"/>
        <v>44.33</v>
      </c>
      <c r="Q31" s="35">
        <f t="shared" si="6"/>
        <v>44.33</v>
      </c>
      <c r="R31" s="35">
        <f t="shared" si="7"/>
        <v>91.4375</v>
      </c>
      <c r="S31" s="30">
        <f t="shared" si="2"/>
        <v>88.66</v>
      </c>
    </row>
    <row r="32" spans="2:19" ht="15.75" thickBot="1" x14ac:dyDescent="0.3">
      <c r="B32" s="13" t="str">
        <f t="shared" si="3"/>
        <v>g-ck-xxxl-sh</v>
      </c>
      <c r="C32" s="14" t="s">
        <v>20</v>
      </c>
      <c r="D32" s="14" t="s">
        <v>33</v>
      </c>
      <c r="E32" s="14" t="s">
        <v>2</v>
      </c>
      <c r="F32" s="14" t="s">
        <v>38</v>
      </c>
      <c r="G32" s="14" t="s">
        <v>10</v>
      </c>
      <c r="H32" s="14" t="s">
        <v>12</v>
      </c>
      <c r="I32" s="14">
        <v>98.84</v>
      </c>
      <c r="J32" s="21">
        <v>45225</v>
      </c>
      <c r="K32" s="14">
        <v>423</v>
      </c>
      <c r="L32" s="14">
        <v>12</v>
      </c>
      <c r="M32" s="42">
        <f t="shared" si="8"/>
        <v>152</v>
      </c>
      <c r="N32" s="14" t="str">
        <f t="shared" si="4"/>
        <v>reorder</v>
      </c>
      <c r="O32" s="29" cm="1">
        <f t="array" ref="O32">_xlfn.IFS(M32&gt;100,25%,M32&gt;50,50%,M32&gt;25,75%,TRUE,1)*I32</f>
        <v>24.71</v>
      </c>
      <c r="P32" s="29">
        <f t="shared" si="5"/>
        <v>98.84</v>
      </c>
      <c r="Q32" s="29">
        <f t="shared" si="6"/>
        <v>49.42</v>
      </c>
      <c r="R32" s="29">
        <f t="shared" si="7"/>
        <v>98.320000000000007</v>
      </c>
      <c r="S32" s="31">
        <f t="shared" si="2"/>
        <v>93.84</v>
      </c>
    </row>
    <row r="34" spans="8:13" x14ac:dyDescent="0.25">
      <c r="H34" s="22" t="s">
        <v>96</v>
      </c>
    </row>
    <row r="35" spans="8:13" ht="30" x14ac:dyDescent="0.25">
      <c r="I35" s="32" t="s">
        <v>97</v>
      </c>
    </row>
    <row r="36" spans="8:13" x14ac:dyDescent="0.25">
      <c r="I36" s="16">
        <v>2</v>
      </c>
      <c r="J36" t="s">
        <v>99</v>
      </c>
    </row>
    <row r="38" spans="8:13" ht="15.75" thickBot="1" x14ac:dyDescent="0.3">
      <c r="K38" s="22" t="s">
        <v>66</v>
      </c>
      <c r="M38" s="22" t="s">
        <v>98</v>
      </c>
    </row>
    <row r="39" spans="8:13" ht="15.75" thickBot="1" x14ac:dyDescent="0.3">
      <c r="K39" s="36">
        <f ca="1">RANDBETWEEN(5000,19999)/100</f>
        <v>158.62</v>
      </c>
      <c r="M39" t="str">
        <f ca="1">_xlfn.FORMULATEXT(K39)</f>
        <v>=RANDBETWEEN(5000,19999)/100</v>
      </c>
    </row>
    <row r="41" spans="8:13" x14ac:dyDescent="0.25">
      <c r="J41" t="s">
        <v>100</v>
      </c>
    </row>
    <row r="42" spans="8:13" x14ac:dyDescent="0.25">
      <c r="J42" t="s">
        <v>101</v>
      </c>
    </row>
    <row r="43" spans="8:13" x14ac:dyDescent="0.25">
      <c r="J43" t="s">
        <v>102</v>
      </c>
    </row>
    <row r="44" spans="8:13" x14ac:dyDescent="0.25">
      <c r="J44" t="s">
        <v>103</v>
      </c>
    </row>
    <row r="46" spans="8:13" x14ac:dyDescent="0.25">
      <c r="I46" s="16">
        <v>3</v>
      </c>
      <c r="J46" t="s">
        <v>92</v>
      </c>
    </row>
    <row r="47" spans="8:13" x14ac:dyDescent="0.25">
      <c r="J47" t="s">
        <v>93</v>
      </c>
    </row>
    <row r="48" spans="8:13" x14ac:dyDescent="0.25">
      <c r="J48" t="s">
        <v>105</v>
      </c>
    </row>
    <row r="49" spans="2:13" x14ac:dyDescent="0.25">
      <c r="J49" t="s">
        <v>106</v>
      </c>
    </row>
    <row r="51" spans="2:13" ht="15.75" thickBot="1" x14ac:dyDescent="0.3">
      <c r="K51" s="22" t="s">
        <v>66</v>
      </c>
      <c r="M51" s="22" t="s">
        <v>98</v>
      </c>
    </row>
    <row r="52" spans="2:13" ht="15.75" thickBot="1" x14ac:dyDescent="0.3">
      <c r="K52" s="36">
        <f ca="1">TODAY()-J16</f>
        <v>360</v>
      </c>
      <c r="M52" t="str">
        <f ca="1">_xlfn.FORMULATEXT(K52)</f>
        <v>=TODAY()-J16</v>
      </c>
    </row>
    <row r="54" spans="2:13" x14ac:dyDescent="0.25">
      <c r="J54" t="s">
        <v>110</v>
      </c>
    </row>
    <row r="55" spans="2:13" x14ac:dyDescent="0.25">
      <c r="J55" t="s">
        <v>107</v>
      </c>
    </row>
    <row r="56" spans="2:13" x14ac:dyDescent="0.25">
      <c r="J56" t="s">
        <v>108</v>
      </c>
    </row>
    <row r="57" spans="2:13" x14ac:dyDescent="0.25">
      <c r="J57" t="s">
        <v>109</v>
      </c>
    </row>
    <row r="59" spans="2:13" x14ac:dyDescent="0.25">
      <c r="M59" s="22" t="s">
        <v>111</v>
      </c>
    </row>
    <row r="60" spans="2:13" x14ac:dyDescent="0.25">
      <c r="M60" t="str">
        <f ca="1">_xlfn.FORMULATEXT(M16)</f>
        <v>=DATE(2024,3,26)-J16</v>
      </c>
    </row>
    <row r="62" spans="2:13" x14ac:dyDescent="0.25">
      <c r="B62" s="22" t="s">
        <v>77</v>
      </c>
    </row>
    <row r="64" spans="2:13" x14ac:dyDescent="0.25">
      <c r="C64" s="22" t="s">
        <v>65</v>
      </c>
      <c r="D64" s="22" t="s">
        <v>66</v>
      </c>
    </row>
    <row r="65" spans="3:4" x14ac:dyDescent="0.25">
      <c r="C65" s="56" t="s">
        <v>26</v>
      </c>
      <c r="D65" s="56" t="str">
        <f ca="1">_xlfn.FORMULATEXT('part2-answers-inventory'!B16)</f>
        <v>=LEFT(C16,1)&amp;"-"&amp;LEFT(D16,2)&amp;"-"&amp;F16&amp;"-"&amp;LEFT(H16,2)</v>
      </c>
    </row>
    <row r="66" spans="3:4" x14ac:dyDescent="0.25">
      <c r="C66" s="56" t="s">
        <v>27</v>
      </c>
      <c r="D66" s="56" t="str">
        <f ca="1">_xlfn.FORMULATEXT('part2-answers-inventory'!K39)</f>
        <v>=RANDBETWEEN(5000,19999)/100</v>
      </c>
    </row>
    <row r="67" spans="3:4" x14ac:dyDescent="0.25">
      <c r="C67" s="56" t="s">
        <v>29</v>
      </c>
      <c r="D67" s="56" t="str">
        <f ca="1">_xlfn.FORMULATEXT('part2-answers-inventory'!K52)</f>
        <v>=TODAY()-J16</v>
      </c>
    </row>
    <row r="68" spans="3:4" x14ac:dyDescent="0.25">
      <c r="C68" s="58" t="s">
        <v>31</v>
      </c>
      <c r="D68" s="57" t="s">
        <v>73</v>
      </c>
    </row>
    <row r="69" spans="3:4" x14ac:dyDescent="0.25">
      <c r="C69" s="56" t="s">
        <v>32</v>
      </c>
      <c r="D69" s="56" t="str">
        <f ca="1">_xlfn.FORMULATEXT('part2-answers-inventory'!O16)</f>
        <v>=IFS(M16&gt;100,25%,M16&gt;50,50%,M16&gt;25,75%,TRUE,1)*I16</v>
      </c>
    </row>
    <row r="70" spans="3:4" x14ac:dyDescent="0.25">
      <c r="C70" s="56" t="s">
        <v>39</v>
      </c>
      <c r="D70" s="56" t="str">
        <f ca="1">_xlfn.FORMULATEXT('part2-answers-inventory'!P16)</f>
        <v>=IF(AND(D16="hilfigger",OR(E16="mens",E16="womens")),50%,1)*I16</v>
      </c>
    </row>
    <row r="71" spans="3:4" x14ac:dyDescent="0.25">
      <c r="C71" s="56" t="s">
        <v>40</v>
      </c>
      <c r="D71" s="56" t="str">
        <f ca="1">_xlfn.FORMULATEXT('part2-answers-inventory'!Q16)</f>
        <v>=IF(M16&gt;AVERAGE($M$16:$M$32),50%,1)*I16</v>
      </c>
    </row>
    <row r="72" spans="3:4" x14ac:dyDescent="0.25">
      <c r="C72" s="56" t="s">
        <v>41</v>
      </c>
      <c r="D72" s="56" t="str">
        <f ca="1">_xlfn.FORMULATEXT('part2-answers-inventory'!R16)</f>
        <v>=AVERAGEIFS($I$16:$I$32,$H$16:$H$32,H16)</v>
      </c>
    </row>
    <row r="73" spans="3:4" x14ac:dyDescent="0.25">
      <c r="C73" s="56" t="s">
        <v>42</v>
      </c>
      <c r="D73" s="56" t="str">
        <f ca="1">_xlfn.FORMULATEXT('part2-answers-inventory'!S16)</f>
        <v>=I16-VLOOKUP(C16,$K$4:$L$6,2,FALSE)</v>
      </c>
    </row>
    <row r="74" spans="3:4" x14ac:dyDescent="0.25">
      <c r="C74" s="56" t="s">
        <v>43</v>
      </c>
      <c r="D74" s="56" t="str">
        <f ca="1">_xlfn.FORMULATEXT('part2-answers-inventory'!P8)</f>
        <v>=COUNTIFS($D$16:$D$32,$O8,$H$16:$H$32,P$7)</v>
      </c>
    </row>
  </sheetData>
  <mergeCells count="3">
    <mergeCell ref="N2:S2"/>
    <mergeCell ref="K2:L2"/>
    <mergeCell ref="B2:I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THIS - ABOUT THIS FILE</vt:lpstr>
      <vt:lpstr>part1-answers</vt:lpstr>
      <vt:lpstr>part2-answers-inventory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Rosenthal</dc:creator>
  <cp:lastModifiedBy>Y Rosenthal</cp:lastModifiedBy>
  <dcterms:created xsi:type="dcterms:W3CDTF">2024-03-06T03:45:58Z</dcterms:created>
  <dcterms:modified xsi:type="dcterms:W3CDTF">2024-10-09T14:54:02Z</dcterms:modified>
</cp:coreProperties>
</file>
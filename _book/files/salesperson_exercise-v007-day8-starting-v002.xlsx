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 name="SalesData" sheetId="2" state="visible" r:id="rId4"/>
    <sheet name="Logical VALUES" sheetId="3" state="visible" r:id="rId5"/>
    <sheet name="NOTES" sheetId="4" state="visible" r:id="rId6"/>
    <sheet name="Dates" sheetId="5" state="visible" r:id="rId7"/>
    <sheet name="formattedValuesVsInternalValues" sheetId="6" state="visible" r:id="rId8"/>
    <sheet name="AND vs OR" sheetId="7" state="visible" r:id="rId9"/>
    <sheet name="left,right,mid,le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<sst xmlns="http://schemas.openxmlformats.org/spreadsheetml/2006/main" count="389" uniqueCount="287">
  <si>
    <t xml:space="preserve">PRACTICE QUESTIONS</t>
  </si>
  <si>
    <t xml:space="preserve">The data for this exercise appears on the “SalesData” worksheet (i.e. tab)</t>
  </si>
  <si>
    <t xml:space="preserve">The answers have already been filled in.</t>
  </si>
  <si>
    <t xml:space="preserve">Read the questions and write the formulas. You can look at the existing formulas to see a possible answer.</t>
  </si>
  <si>
    <t xml:space="preserve">#</t>
  </si>
  <si>
    <t xml:space="preserve">Question</t>
  </si>
  <si>
    <t xml:space="preserve">In column F, calculate the number of years each employee has served the company untill now . Round it to a whole number.</t>
  </si>
  <si>
    <t xml:space="preserve"> In column G, generate the Full Name for the Employee </t>
  </si>
  <si>
    <t xml:space="preserve">For each of the following questions, write a SINGLE formula that calculates the COMPENSATION (compensation means comissions plus bonus when available) for each salesperson based on the stated information in the question. </t>
  </si>
  <si>
    <t xml:space="preserve">5% commission for each complete year with the company. (NOTE – that according to this rule if someone were with the company for more than 20 years they would technically qualify for greater than 100% commission – this doesn’t make sense but we will ignore this for now. See the next question for a more realistic example).</t>
  </si>
  <si>
    <t xml:space="preserve">5% commission for each complete year with the company UP TO A MAXIMUM of 20%.</t>
  </si>
  <si>
    <t xml:space="preserve">10% commission for all those below average sales, 20% commission for those with above average sales.</t>
  </si>
  <si>
    <t xml:space="preserve">10% commission to everybody and plus a $5000 bonus to the salesperson with the most sales.</t>
  </si>
  <si>
    <t xml:space="preserve">Straight 20% commission with a minimum takehome pay of $2000. (Note this is NOT the same as base of $2000 plus a commission).</t>
  </si>
  <si>
    <t xml:space="preserve">5% commission to the salesman with the least sales, 15% commission to the salesman with the most sales, 10%commission to everyone else.</t>
  </si>
  <si>
    <t xml:space="preserve">compensation</t>
  </si>
  <si>
    <t xml:space="preserve">a.</t>
  </si>
  <si>
    <t xml:space="preserve">If you sold at least 50k – 30% commission </t>
  </si>
  <si>
    <t xml:space="preserve">b.</t>
  </si>
  <si>
    <t xml:space="preserve">If you sold at least 30k – 20% commission</t>
  </si>
  <si>
    <t xml:space="preserve">c.</t>
  </si>
  <si>
    <t xml:space="preserve">If you sold at least 10K – 10% commission </t>
  </si>
  <si>
    <t xml:space="preserve">d.</t>
  </si>
  <si>
    <t xml:space="preserve">If you didn't sell at least 10k then you get a flat $500 in base pay with no commission.</t>
  </si>
  <si>
    <t xml:space="preserve">Example 1: If someone made a total of $60k in sales, their commission would be:</t>
  </si>
  <si>
    <t xml:space="preserve">30% * 60k</t>
  </si>
  <si>
    <t xml:space="preserve">= 18k</t>
  </si>
  <si>
    <t xml:space="preserve">Example 2: If someone made a total of $35k in sales, their commission would be:</t>
  </si>
  <si>
    <t xml:space="preserve">20% * 40k</t>
  </si>
  <si>
    <t xml:space="preserve">= 8k</t>
  </si>
  <si>
    <t xml:space="preserve">Managers – 15% commission</t>
  </si>
  <si>
    <t xml:space="preserve">Sr. Salesperson – 10% commission</t>
  </si>
  <si>
    <t xml:space="preserve">Salesperson – 5% commission</t>
  </si>
  <si>
    <t xml:space="preserve">Compensation:</t>
  </si>
  <si>
    <t xml:space="preserve">For managers who were with the company at least 5 years: 40% commission</t>
  </si>
  <si>
    <t xml:space="preserve">Anybody else, 10% commission</t>
  </si>
  <si>
    <t xml:space="preserve">For all managers, and also for anybody who was with the company at least 5 years: 40% commission</t>
  </si>
  <si>
    <t xml:space="preserve">Anybody else, 10%</t>
  </si>
  <si>
    <t xml:space="preserve">For managers </t>
  </si>
  <si>
    <t xml:space="preserve">20% commission</t>
  </si>
  <si>
    <t xml:space="preserve">For Sr. salespeople who were with the company at least 5 years</t>
  </si>
  <si>
    <t xml:space="preserve">Anybody else</t>
  </si>
  <si>
    <t xml:space="preserve">10% commission</t>
  </si>
  <si>
    <t xml:space="preserve">Answer this question using (a) nested ifs (b) vlookup (c) xlookup (d) the IFS function</t>
  </si>
  <si>
    <t xml:space="preserve">If you sold at least 40k – 20% commission </t>
  </si>
  <si>
    <t xml:space="preserve">If you sold at least 30K – 10% commission </t>
  </si>
  <si>
    <t xml:space="preserve">If you sold at least 20k—5% commissions </t>
  </si>
  <si>
    <t xml:space="preserve">e.</t>
  </si>
  <si>
    <t xml:space="preserve">If you sold at least 10k—3% commissions </t>
  </si>
  <si>
    <t xml:space="preserve">14b</t>
  </si>
  <si>
    <t xml:space="preserve">Answer the following using (a) nested ifs (b) vlookup (c) xlookup</t>
  </si>
  <si>
    <t xml:space="preserve">Manager</t>
  </si>
  <si>
    <t xml:space="preserve">Sr. Salesperson </t>
  </si>
  <si>
    <t xml:space="preserve">Salesperson</t>
  </si>
  <si>
    <t xml:space="preserve">14c</t>
  </si>
  <si>
    <t xml:space="preserve">Management would like to hold meeting with each employee. </t>
  </si>
  <si>
    <t xml:space="preserve">The meetings will be scheduled based on last names according to the following chart.</t>
  </si>
  <si>
    <t xml:space="preserve">Setup a vlookup table and write a vlookup formula to figure out which day each employees meeting is.</t>
  </si>
  <si>
    <t xml:space="preserve">names between</t>
  </si>
  <si>
    <t xml:space="preserve">day of meeting</t>
  </si>
  <si>
    <t xml:space="preserve">A through H</t>
  </si>
  <si>
    <t xml:space="preserve">mon</t>
  </si>
  <si>
    <t xml:space="preserve">I through O</t>
  </si>
  <si>
    <t xml:space="preserve">tue</t>
  </si>
  <si>
    <t xml:space="preserve">P through Z</t>
  </si>
  <si>
    <t xml:space="preserve">wed</t>
  </si>
  <si>
    <t xml:space="preserve">For the following questions we will use the xxxIFS family of functions (i.e. countifs, sumifs, averageifs, minifs, maxifs, etc)</t>
  </si>
  <si>
    <t xml:space="preserve">(answer this question later - see below)</t>
  </si>
  <si>
    <t xml:space="preserve">Get the total number of people who made more than 30k in sales</t>
  </si>
  <si>
    <t xml:space="preserve">Get the total number of "Salesperson" rows who made more than 30k in sales</t>
  </si>
  <si>
    <t xml:space="preserve">Get the total number of "Salesperson" rows who were with the company for more than 5 years who  made more than 30k in sales</t>
  </si>
  <si>
    <t xml:space="preserve">Get the average sales for "Manager"s</t>
  </si>
  <si>
    <t xml:space="preserve">Get the average sales for everyone</t>
  </si>
  <si>
    <t xml:space="preserve">Get the highest sales for "Salesperson"s</t>
  </si>
  <si>
    <t xml:space="preserve">The following are targets. Add this table to your spreadsheet. Then create a column to show the number of people who met each target (ie at least the value on the row but less than the value in the higher row)</t>
  </si>
  <si>
    <t xml:space="preserve">description</t>
  </si>
  <si>
    <t xml:space="preserve">target</t>
  </si>
  <si>
    <t xml:space="preserve"># people
who met
target</t>
  </si>
  <si>
    <t xml:space="preserve">Explanation</t>
  </si>
  <si>
    <t xml:space="preserve">high</t>
  </si>
  <si>
    <t xml:space="preserve">Number of people who sold at least 30k</t>
  </si>
  <si>
    <t xml:space="preserve">med</t>
  </si>
  <si>
    <t xml:space="preserve"># of people who sold at least 20k but less than 30k</t>
  </si>
  <si>
    <t xml:space="preserve">low</t>
  </si>
  <si>
    <t xml:space="preserve"># of people who sold at least 10k but less than 20k</t>
  </si>
  <si>
    <t xml:space="preserve">very low</t>
  </si>
  <si>
    <t xml:space="preserve"># of people who sold less than 10k (same as at least zero but less than 10k)</t>
  </si>
  <si>
    <t xml:space="preserve"> Make a summary table to show the number of salesperson who get less than $1000, at least $1k but less than $3k, at least $3k, but less than $5k,  $5k and up. Write one formula and drag it down and across to create results for each salesperson and for each compensation policy above.</t>
  </si>
  <si>
    <r>
      <rPr>
        <sz val="11"/>
        <color theme="1"/>
        <rFont val="Calibri"/>
        <family val="2"/>
        <charset val="1"/>
      </rPr>
      <t xml:space="preserve">Make a summary table to show the average of compensation of managers, sr. salesperson and salesperson for all 12 types of compensation policies above. Please create 1 formula and copy-paste this formula to all the rest of the table (Hint: use AVERAGEIF function)</t>
    </r>
    <r>
      <rPr>
        <sz val="11"/>
        <color theme="1"/>
        <rFont val="Noto Sans CJK SC"/>
        <family val="2"/>
      </rPr>
      <t xml:space="preserve">。</t>
    </r>
  </si>
  <si>
    <t xml:space="preserve">Years with the company</t>
  </si>
  <si>
    <t xml:space="preserve">Full Name</t>
  </si>
  <si>
    <t xml:space="preserve">Total
Compensation
(all in one formula)</t>
  </si>
  <si>
    <t xml:space="preserve">Salesperson
First Name</t>
  </si>
  <si>
    <t xml:space="preserve">Salesperson
Last Name</t>
  </si>
  <si>
    <t xml:space="preserve">Hire Date</t>
  </si>
  <si>
    <t xml:space="preserve">Title</t>
  </si>
  <si>
    <t xml:space="preserve">Sales
</t>
  </si>
  <si>
    <t xml:space="preserve">q1</t>
  </si>
  <si>
    <t xml:space="preserve">q2</t>
  </si>
  <si>
    <t xml:space="preserve">q3</t>
  </si>
  <si>
    <t xml:space="preserve">q4</t>
  </si>
  <si>
    <t xml:space="preserve">q5</t>
  </si>
  <si>
    <t xml:space="preserve">q5 - 
another answer</t>
  </si>
  <si>
    <t xml:space="preserve">q5 - just the 
percent</t>
  </si>
  <si>
    <t xml:space="preserve">q5 - takehome
pay</t>
  </si>
  <si>
    <t xml:space="preserve">q6</t>
  </si>
  <si>
    <t xml:space="preserve">q6 - 
TRUE if max sales
FALSE otherwise</t>
  </si>
  <si>
    <t xml:space="preserve">q7</t>
  </si>
  <si>
    <t xml:space="preserve">q7 - another
way</t>
  </si>
  <si>
    <t xml:space="preserve">q8</t>
  </si>
  <si>
    <t xml:space="preserve">q8 - another
way</t>
  </si>
  <si>
    <t xml:space="preserve">q9</t>
  </si>
  <si>
    <t xml:space="preserve">q9 -another
way</t>
  </si>
  <si>
    <t xml:space="preserve">q10</t>
  </si>
  <si>
    <t xml:space="preserve">q10 - another
way</t>
  </si>
  <si>
    <t xml:space="preserve">q11</t>
  </si>
  <si>
    <t xml:space="preserve">q12</t>
  </si>
  <si>
    <t xml:space="preserve">q13</t>
  </si>
  <si>
    <t xml:space="preserve">q13 - 
another
way</t>
  </si>
  <si>
    <t xml:space="preserve">q14 - 
using
XLOOKUP</t>
  </si>
  <si>
    <t xml:space="preserve">q14 - 
using
VLOOKUP</t>
  </si>
  <si>
    <t xml:space="preserve">q14 - 
comments column
using XLOOKUP</t>
  </si>
  <si>
    <t xml:space="preserve">q14 - 
comments column
using VLOOKUP</t>
  </si>
  <si>
    <t xml:space="preserve">q14b</t>
  </si>
  <si>
    <t xml:space="preserve">14c - Day for end of year review based on LAST NAME using the vlookup chart below</t>
  </si>
  <si>
    <t xml:space="preserve">q15 and 
later questions 
answer
 below</t>
  </si>
  <si>
    <t xml:space="preserve">xlookup chart for question 14</t>
  </si>
  <si>
    <t xml:space="preserve">vlookup chart for Q14b</t>
  </si>
  <si>
    <t xml:space="preserve">Joe</t>
  </si>
  <si>
    <t xml:space="preserve">Smith</t>
  </si>
  <si>
    <t xml:space="preserve">sales</t>
  </si>
  <si>
    <t xml:space="preserve">commission percent</t>
  </si>
  <si>
    <t xml:space="preserve">comments</t>
  </si>
  <si>
    <t xml:space="preserve">commission</t>
  </si>
  <si>
    <t xml:space="preserve">Sam</t>
  </si>
  <si>
    <t xml:space="preserve">Lee</t>
  </si>
  <si>
    <t xml:space="preserve">excellent</t>
  </si>
  <si>
    <t xml:space="preserve">Sue</t>
  </si>
  <si>
    <t xml:space="preserve">Sallinger</t>
  </si>
  <si>
    <t xml:space="preserve">great</t>
  </si>
  <si>
    <t xml:space="preserve">Sr. Salesperson</t>
  </si>
  <si>
    <t xml:space="preserve">Barb</t>
  </si>
  <si>
    <t xml:space="preserve">Brown</t>
  </si>
  <si>
    <t xml:space="preserve">Senior Salesperson</t>
  </si>
  <si>
    <t xml:space="preserve">good</t>
  </si>
  <si>
    <t xml:space="preserve">Jack</t>
  </si>
  <si>
    <t xml:space="preserve">Martin</t>
  </si>
  <si>
    <t xml:space="preserve">fair</t>
  </si>
  <si>
    <t xml:space="preserve">Kate</t>
  </si>
  <si>
    <t xml:space="preserve">Carey</t>
  </si>
  <si>
    <t xml:space="preserve">do better</t>
  </si>
  <si>
    <t xml:space="preserve">Emy</t>
  </si>
  <si>
    <t xml:space="preserve">Parsons</t>
  </si>
  <si>
    <t xml:space="preserve">goodbye</t>
  </si>
  <si>
    <t xml:space="preserve">vlookup chart for Q14c</t>
  </si>
  <si>
    <t xml:space="preserve">Monica</t>
  </si>
  <si>
    <t xml:space="preserve">Oja</t>
  </si>
  <si>
    <t xml:space="preserve">Lookup value</t>
  </si>
  <si>
    <t xml:space="preserve">Jim</t>
  </si>
  <si>
    <t xml:space="preserve">Kuruzovich</t>
  </si>
  <si>
    <t xml:space="preserve">VLOOKUP TABLE</t>
  </si>
  <si>
    <t xml:space="preserve">A</t>
  </si>
  <si>
    <t xml:space="preserve">goodby</t>
  </si>
  <si>
    <t xml:space="preserve">I</t>
  </si>
  <si>
    <t xml:space="preserve">P</t>
  </si>
  <si>
    <t xml:space="preserve">q15 - answer below</t>
  </si>
  <si>
    <t xml:space="preserve">q16 - answer below</t>
  </si>
  <si>
    <t xml:space="preserve">q17 - answer below</t>
  </si>
  <si>
    <t xml:space="preserve">q18 - answer below</t>
  </si>
  <si>
    <t xml:space="preserve">q19 - answer below</t>
  </si>
  <si>
    <t xml:space="preserve">q20 - answer below</t>
  </si>
  <si>
    <t xml:space="preserve">q21 - answer below</t>
  </si>
  <si>
    <t xml:space="preserve">q22 - answer below</t>
  </si>
  <si>
    <t xml:space="preserve">q23 - answer below</t>
  </si>
  <si>
    <t xml:space="preserve">(a)</t>
  </si>
  <si>
    <t xml:space="preserve">Type a formula in the top yellow cell below to calculate the desired value.</t>
  </si>
  <si>
    <t xml:space="preserve">(b)</t>
  </si>
  <si>
    <t xml:space="preserve">Type a formula in the 2nd yellow cell below to caluclate the desired value for that cell. Then drag the formula down to the remaining yellow cells to get the correct values in all cells.</t>
  </si>
  <si>
    <t xml:space="preserve">Excel recognizes if a statement is TRUE or FALSE.</t>
  </si>
  <si>
    <t xml:space="preserve">For example, =3&gt;4 will return the value FALSE, =3&lt;4 will return the value TRUE</t>
  </si>
  <si>
    <t xml:space="preserve">EXAMPLES</t>
  </si>
  <si>
    <t xml:space="preserve">Formula</t>
  </si>
  <si>
    <t xml:space="preserve">Result</t>
  </si>
  <si>
    <t xml:space="preserve">number1</t>
  </si>
  <si>
    <t xml:space="preserve">number2</t>
  </si>
  <si>
    <t xml:space="preserve">formula</t>
  </si>
  <si>
    <t xml:space="preserve">result</t>
  </si>
  <si>
    <t xml:space="preserve">An IF function requires 3 parameters (AKA arguments)</t>
  </si>
  <si>
    <t xml:space="preserve">first </t>
  </si>
  <si>
    <t xml:space="preserve">a logical expression</t>
  </si>
  <si>
    <t xml:space="preserve">2nd</t>
  </si>
  <si>
    <t xml:space="preserve">the value that is returned by the IF when the logical expression is TRUE</t>
  </si>
  <si>
    <t xml:space="preserve">3rd</t>
  </si>
  <si>
    <t xml:space="preserve">the value that is returned by the IF when the logical expression is FALSE</t>
  </si>
  <si>
    <t xml:space="preserve">EXAMPLE</t>
  </si>
  <si>
    <t xml:space="preserve">Employee</t>
  </si>
  <si>
    <t xml:space="preserve"># of years with company</t>
  </si>
  <si>
    <t xml:space="preserve">short (i.e. less than 5 years) or long term employment</t>
  </si>
  <si>
    <t xml:space="preserve">joe</t>
  </si>
  <si>
    <t xml:space="preserve">sam</t>
  </si>
  <si>
    <t xml:space="preserve">sue</t>
  </si>
  <si>
    <t xml:space="preserve">bob</t>
  </si>
  <si>
    <t xml:space="preserve">jill</t>
  </si>
  <si>
    <t xml:space="preserve">The TODAY() function returns the value for today's date.</t>
  </si>
  <si>
    <t xml:space="preserve">Internally, Excel stores dates as the number of days since Jan 1, 1900</t>
  </si>
  <si>
    <t xml:space="preserve">To figure out the number days between two dates subtract the earlier date from the later date.</t>
  </si>
  <si>
    <t xml:space="preserve">first date</t>
  </si>
  <si>
    <t xml:space="preserve">2nd date</t>
  </si>
  <si>
    <t xml:space="preserve">number of days between the two dates</t>
  </si>
  <si>
    <t xml:space="preserve">The example above shows that simply subtracting the dates only include either</t>
  </si>
  <si>
    <t xml:space="preserve">the starting date or the ending date but not both. </t>
  </si>
  <si>
    <t xml:space="preserve">To include both the starting and ending dates, simply add one:</t>
  </si>
  <si>
    <t xml:space="preserve">The number that's used internally by Excel to store dates is known in the Excel documentation as a "serial number"</t>
  </si>
  <si>
    <t xml:space="preserve">The round function takes 2 arguments  - the number and the number of decimal places to round to</t>
  </si>
  <si>
    <t xml:space="preserve">When copying data between different programs and you don't want the formatting make sure to paste as "text" or "unicode text"</t>
  </si>
  <si>
    <t xml:space="preserve"> </t>
  </si>
  <si>
    <t xml:space="preserve">Start Date</t>
  </si>
  <si>
    <t xml:space="preserve">End Date</t>
  </si>
  <si>
    <t xml:space="preserve"># of days</t>
  </si>
  <si>
    <t xml:space="preserve"># weeks</t>
  </si>
  <si>
    <t xml:space="preserve"># whole weeks</t>
  </si>
  <si>
    <t xml:space="preserve">The following is a date but it is "formatted" as "general". </t>
  </si>
  <si>
    <t xml:space="preserve">The number shown represents the number of days since Jan 1, 1900 until the specified date.</t>
  </si>
  <si>
    <t xml:space="preserve">Cell a6 below is "formatted" to only display 2 digits after the decimal point. However, the actual value is still stored in Excel and </t>
  </si>
  <si>
    <t xml:space="preserve">is used in calculations. This can be seen in cell b6 which adds 1 to the value in A6. Notice that</t>
  </si>
  <si>
    <t xml:space="preserve">the value in B6 contains additional values after the decimal point that are not being displayed in A6 due to its formatting.</t>
  </si>
  <si>
    <t xml:space="preserve">number</t>
  </si>
  <si>
    <t xml:space="preserve">2 x number</t>
  </si>
  <si>
    <t xml:space="preserve">The AND function can take numerous arguments.</t>
  </si>
  <si>
    <t xml:space="preserve">Each argument must evaluate to either TRUE or FALSE.</t>
  </si>
  <si>
    <t xml:space="preserve">The value of the entire AND function is TRUE when all of the arguments evaluate to TRUE.</t>
  </si>
  <si>
    <t xml:space="preserve">The value of the entire AND function is FALSE when any of the arguments are FALSE.</t>
  </si>
  <si>
    <t xml:space="preserve">The OR function also takes multiple arguments that evalue to TRUE or FALSE.</t>
  </si>
  <si>
    <t xml:space="preserve">The value of the entire OR function is TRUE if any of the arguments are TRUE.</t>
  </si>
  <si>
    <t xml:space="preserve">The value of the entire OR function is FALSE is all of the arguments are FALSE.</t>
  </si>
  <si>
    <t xml:space="preserve">AND FUNCTION</t>
  </si>
  <si>
    <t xml:space="preserve">OR FUNCTION</t>
  </si>
  <si>
    <t xml:space="preserve">student</t>
  </si>
  <si>
    <t xml:space="preserve">test1</t>
  </si>
  <si>
    <t xml:space="preserve">test2</t>
  </si>
  <si>
    <t xml:space="preserve">test3</t>
  </si>
  <si>
    <t xml:space="preserve">passed all tests with 70 or greater</t>
  </si>
  <si>
    <t xml:space="preserve">passed any of the tests</t>
  </si>
  <si>
    <t xml:space="preserve">alice</t>
  </si>
  <si>
    <t xml:space="preserve">larry</t>
  </si>
  <si>
    <t xml:space="preserve">mike</t>
  </si>
  <si>
    <t xml:space="preserve">WORKING WITH TEXT VALUES</t>
  </si>
  <si>
    <t xml:space="preserve">DATE AND TIME FUNCTIONS</t>
  </si>
  <si>
    <t xml:space="preserve">All text values in a formula must be in "quotes".</t>
  </si>
  <si>
    <t xml:space="preserve">DATE</t>
  </si>
  <si>
    <t xml:space="preserve">Text operators</t>
  </si>
  <si>
    <t xml:space="preserve">DATEVALUE</t>
  </si>
  <si>
    <t xml:space="preserve">&amp; operator</t>
  </si>
  <si>
    <t xml:space="preserve">DAY</t>
  </si>
  <si>
    <t xml:space="preserve">MONTH</t>
  </si>
  <si>
    <t xml:space="preserve">Text functions</t>
  </si>
  <si>
    <t xml:space="preserve">YEAR</t>
  </si>
  <si>
    <t xml:space="preserve">CONCATENATE</t>
  </si>
  <si>
    <t xml:space="preserve">EDATE</t>
  </si>
  <si>
    <t xml:space="preserve">LEFT</t>
  </si>
  <si>
    <t xml:space="preserve">EOMONTH</t>
  </si>
  <si>
    <t xml:space="preserve">RIGHT</t>
  </si>
  <si>
    <t xml:space="preserve">MID</t>
  </si>
  <si>
    <t xml:space="preserve">LEN</t>
  </si>
  <si>
    <t xml:space="preserve">CREATING A SKU</t>
  </si>
  <si>
    <t xml:space="preserve">SKU</t>
  </si>
  <si>
    <t xml:space="preserve">Color</t>
  </si>
  <si>
    <t xml:space="preserve">Size</t>
  </si>
  <si>
    <t xml:space="preserve">Manufacture date</t>
  </si>
  <si>
    <t xml:space="preserve">Manufacture state</t>
  </si>
  <si>
    <t xml:space="preserve">red</t>
  </si>
  <si>
    <t xml:space="preserve">small</t>
  </si>
  <si>
    <t xml:space="preserve">NY</t>
  </si>
  <si>
    <t xml:space="preserve">blue</t>
  </si>
  <si>
    <t xml:space="preserve">medium</t>
  </si>
  <si>
    <t xml:space="preserve">NJ</t>
  </si>
  <si>
    <t xml:space="preserve">green</t>
  </si>
  <si>
    <t xml:space="preserve">large</t>
  </si>
  <si>
    <t xml:space="preserve">CT</t>
  </si>
  <si>
    <t xml:space="preserve">yellow</t>
  </si>
  <si>
    <t xml:space="preserve">xlarge</t>
  </si>
  <si>
    <t xml:space="preserve">PA</t>
  </si>
  <si>
    <t xml:space="preserve">EXTRACTING DATA FROM A SKU</t>
  </si>
  <si>
    <t xml:space="preserve">Date and Time values in a single cell</t>
  </si>
  <si>
    <t xml:space="preserve">HOUR</t>
  </si>
  <si>
    <t xml:space="preserve">MINUTE</t>
  </si>
  <si>
    <t xml:space="preserve">SECOND</t>
  </si>
</sst>
</file>

<file path=xl/styles.xml><?xml version="1.0" encoding="utf-8"?>
<styleSheet xmlns="http://schemas.openxmlformats.org/spreadsheetml/2006/main">
  <numFmts count="10">
    <numFmt numFmtId="164" formatCode="General"/>
    <numFmt numFmtId="165" formatCode="0%"/>
    <numFmt numFmtId="166" formatCode="m/d/yyyy"/>
    <numFmt numFmtId="167" formatCode="_(\$* #,##0.00_);_(\$* \(#,##0.00\);_(\$* \-??_);_(@_)"/>
    <numFmt numFmtId="168" formatCode="General"/>
    <numFmt numFmtId="169" formatCode="\$#,##0.00"/>
    <numFmt numFmtId="170" formatCode="mm/dd/yy"/>
    <numFmt numFmtId="171" formatCode="0.00"/>
    <numFmt numFmtId="172" formatCode="0.000000"/>
    <numFmt numFmtId="173" formatCode="[$-409]m/d/yy\ h:mm\ AM/PM;@"/>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Noto Sans CJK SC"/>
      <family val="2"/>
    </font>
    <font>
      <b val="true"/>
      <sz val="10"/>
      <color theme="1"/>
      <name val="Calibri"/>
      <family val="2"/>
      <charset val="1"/>
    </font>
  </fonts>
  <fills count="4">
    <fill>
      <patternFill patternType="none"/>
    </fill>
    <fill>
      <patternFill patternType="gray125"/>
    </fill>
    <fill>
      <patternFill patternType="solid">
        <fgColor theme="3" tint="0.7999"/>
        <bgColor rgb="FFC0C0C0"/>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17" applyFont="true" applyBorder="true" applyAlignment="true" applyProtection="true">
      <alignment horizontal="general" vertical="bottom" textRotation="0" wrapText="false" indent="0" shrinkToFit="false"/>
      <protection locked="true" hidden="false"/>
    </xf>
    <xf numFmtId="168" fontId="0" fillId="2" borderId="0" xfId="17" applyFont="true" applyBorder="true" applyAlignment="true" applyProtection="true">
      <alignment horizontal="left" vertical="bottom" textRotation="0" wrapText="false" indent="0" shrinkToFit="false"/>
      <protection locked="true" hidden="false"/>
    </xf>
    <xf numFmtId="168" fontId="0" fillId="2" borderId="0" xfId="0" applyFont="false" applyBorder="false" applyAlignment="false" applyProtection="false">
      <alignment horizontal="general" vertical="bottom" textRotation="0" wrapText="false" indent="0" shrinkToFit="false"/>
      <protection locked="true" hidden="false"/>
    </xf>
    <xf numFmtId="169"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0" fillId="3" borderId="1" xfId="0" applyFont="fals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8" fontId="0" fillId="3"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B8" activeCellId="0" sqref="B8"/>
    </sheetView>
  </sheetViews>
  <sheetFormatPr defaultColWidth="9.109375" defaultRowHeight="14.25" zeroHeight="false" outlineLevelRow="0" outlineLevelCol="0"/>
  <cols>
    <col collapsed="false" customWidth="true" hidden="false" outlineLevel="0" max="1" min="1" style="1" width="11.58"/>
    <col collapsed="false" customWidth="true" hidden="false" outlineLevel="0" max="2" min="2" style="1" width="18"/>
    <col collapsed="false" customWidth="true" hidden="false" outlineLevel="0" max="3" min="3" style="1" width="21"/>
    <col collapsed="false" customWidth="false" hidden="false" outlineLevel="0" max="16384" min="4" style="1" width="9.11"/>
  </cols>
  <sheetData>
    <row r="1" customFormat="false" ht="14.25" hidden="false" customHeight="false" outlineLevel="0" collapsed="false">
      <c r="A1" s="2" t="s">
        <v>0</v>
      </c>
    </row>
    <row r="2" customFormat="false" ht="14.25" hidden="false" customHeight="false" outlineLevel="0" collapsed="false">
      <c r="A2" s="0"/>
      <c r="B2" s="1" t="s">
        <v>1</v>
      </c>
    </row>
    <row r="3" customFormat="false" ht="14.25" hidden="false" customHeight="false" outlineLevel="0" collapsed="false">
      <c r="A3" s="0"/>
      <c r="B3" s="1" t="s">
        <v>2</v>
      </c>
    </row>
    <row r="4" customFormat="false" ht="14.25" hidden="false" customHeight="false" outlineLevel="0" collapsed="false">
      <c r="A4" s="0"/>
      <c r="B4" s="1" t="s">
        <v>3</v>
      </c>
    </row>
    <row r="6" customFormat="false" ht="14.25" hidden="false" customHeight="false" outlineLevel="0" collapsed="false">
      <c r="A6" s="2" t="s">
        <v>4</v>
      </c>
      <c r="B6" s="2" t="s">
        <v>5</v>
      </c>
    </row>
    <row r="8" customFormat="false" ht="14.25" hidden="false" customHeight="false" outlineLevel="0" collapsed="false">
      <c r="A8" s="1" t="n">
        <v>1</v>
      </c>
      <c r="B8" s="1" t="s">
        <v>6</v>
      </c>
    </row>
    <row r="10" customFormat="false" ht="14.25" hidden="false" customHeight="false" outlineLevel="0" collapsed="false">
      <c r="A10" s="1" t="n">
        <v>2</v>
      </c>
      <c r="B10" s="1" t="s">
        <v>7</v>
      </c>
    </row>
    <row r="12" customFormat="false" ht="14.25" hidden="false" customHeight="false" outlineLevel="0" collapsed="false">
      <c r="A12" s="1" t="s">
        <v>8</v>
      </c>
    </row>
    <row r="14" customFormat="false" ht="14.25" hidden="false" customHeight="false" outlineLevel="0" collapsed="false">
      <c r="A14" s="1" t="n">
        <v>3</v>
      </c>
      <c r="B14" s="1" t="s">
        <v>9</v>
      </c>
    </row>
    <row r="16" customFormat="false" ht="14.25" hidden="false" customHeight="false" outlineLevel="0" collapsed="false">
      <c r="A16" s="1" t="n">
        <v>4</v>
      </c>
      <c r="B16" s="1" t="s">
        <v>10</v>
      </c>
    </row>
    <row r="18" customFormat="false" ht="14.25" hidden="false" customHeight="false" outlineLevel="0" collapsed="false">
      <c r="A18" s="1" t="n">
        <v>5</v>
      </c>
      <c r="B18" s="1" t="s">
        <v>11</v>
      </c>
    </row>
    <row r="20" customFormat="false" ht="14.25" hidden="false" customHeight="false" outlineLevel="0" collapsed="false">
      <c r="A20" s="1" t="n">
        <v>6</v>
      </c>
      <c r="B20" s="1" t="s">
        <v>12</v>
      </c>
    </row>
    <row r="22" customFormat="false" ht="14.25" hidden="false" customHeight="false" outlineLevel="0" collapsed="false">
      <c r="A22" s="1" t="n">
        <v>7</v>
      </c>
      <c r="B22" s="1" t="s">
        <v>13</v>
      </c>
    </row>
    <row r="25" customFormat="false" ht="14.25" hidden="false" customHeight="false" outlineLevel="0" collapsed="false">
      <c r="A25" s="1" t="n">
        <v>8</v>
      </c>
      <c r="B25" s="1" t="s">
        <v>14</v>
      </c>
    </row>
    <row r="27" customFormat="false" ht="14.25" hidden="false" customHeight="false" outlineLevel="0" collapsed="false">
      <c r="A27" s="1" t="n">
        <v>9</v>
      </c>
      <c r="B27" s="1" t="s">
        <v>15</v>
      </c>
    </row>
    <row r="28" customFormat="false" ht="14.25" hidden="false" customHeight="false" outlineLevel="0" collapsed="false">
      <c r="B28" s="1" t="s">
        <v>16</v>
      </c>
      <c r="C28" s="1" t="s">
        <v>17</v>
      </c>
    </row>
    <row r="29" customFormat="false" ht="14.25" hidden="false" customHeight="false" outlineLevel="0" collapsed="false">
      <c r="B29" s="1" t="s">
        <v>18</v>
      </c>
      <c r="C29" s="1" t="s">
        <v>19</v>
      </c>
    </row>
    <row r="30" customFormat="false" ht="14.25" hidden="false" customHeight="false" outlineLevel="0" collapsed="false">
      <c r="B30" s="1" t="s">
        <v>20</v>
      </c>
      <c r="C30" s="1" t="s">
        <v>21</v>
      </c>
    </row>
    <row r="31" customFormat="false" ht="14.25" hidden="false" customHeight="false" outlineLevel="0" collapsed="false">
      <c r="B31" s="1" t="s">
        <v>22</v>
      </c>
      <c r="C31" s="1" t="s">
        <v>23</v>
      </c>
    </row>
    <row r="33" customFormat="false" ht="14.25" hidden="false" customHeight="false" outlineLevel="0" collapsed="false">
      <c r="B33" s="1" t="s">
        <v>24</v>
      </c>
    </row>
    <row r="34" customFormat="false" ht="14.25" hidden="false" customHeight="false" outlineLevel="0" collapsed="false">
      <c r="C34" s="1" t="s">
        <v>25</v>
      </c>
      <c r="D34" s="1" t="s">
        <v>26</v>
      </c>
    </row>
    <row r="36" customFormat="false" ht="14.25" hidden="false" customHeight="false" outlineLevel="0" collapsed="false">
      <c r="B36" s="1" t="s">
        <v>27</v>
      </c>
    </row>
    <row r="37" customFormat="false" ht="14.25" hidden="false" customHeight="false" outlineLevel="0" collapsed="false">
      <c r="C37" s="1" t="s">
        <v>28</v>
      </c>
      <c r="D37" s="1" t="s">
        <v>29</v>
      </c>
    </row>
    <row r="40" customFormat="false" ht="14.25" hidden="false" customHeight="false" outlineLevel="0" collapsed="false">
      <c r="A40" s="1" t="n">
        <v>10</v>
      </c>
      <c r="B40" s="1" t="s">
        <v>30</v>
      </c>
    </row>
    <row r="41" customFormat="false" ht="14.25" hidden="false" customHeight="false" outlineLevel="0" collapsed="false">
      <c r="B41" s="1" t="s">
        <v>31</v>
      </c>
    </row>
    <row r="42" customFormat="false" ht="14.25" hidden="false" customHeight="false" outlineLevel="0" collapsed="false">
      <c r="B42" s="1" t="s">
        <v>32</v>
      </c>
    </row>
    <row r="45" customFormat="false" ht="14.25" hidden="false" customHeight="false" outlineLevel="0" collapsed="false">
      <c r="A45" s="1" t="n">
        <v>11</v>
      </c>
      <c r="B45" s="1" t="s">
        <v>33</v>
      </c>
    </row>
    <row r="46" customFormat="false" ht="14.25" hidden="false" customHeight="false" outlineLevel="0" collapsed="false">
      <c r="B46" s="1" t="s">
        <v>16</v>
      </c>
      <c r="C46" s="1" t="s">
        <v>34</v>
      </c>
    </row>
    <row r="47" customFormat="false" ht="14.25" hidden="false" customHeight="false" outlineLevel="0" collapsed="false">
      <c r="B47" s="1" t="s">
        <v>18</v>
      </c>
      <c r="C47" s="1" t="s">
        <v>35</v>
      </c>
    </row>
    <row r="49" customFormat="false" ht="14.25" hidden="false" customHeight="false" outlineLevel="0" collapsed="false">
      <c r="A49" s="1" t="n">
        <v>12</v>
      </c>
      <c r="B49" s="1" t="s">
        <v>33</v>
      </c>
    </row>
    <row r="50" customFormat="false" ht="14.25" hidden="false" customHeight="false" outlineLevel="0" collapsed="false">
      <c r="B50" s="1" t="s">
        <v>16</v>
      </c>
      <c r="C50" s="1" t="s">
        <v>36</v>
      </c>
    </row>
    <row r="51" customFormat="false" ht="14.25" hidden="false" customHeight="false" outlineLevel="0" collapsed="false">
      <c r="B51" s="1" t="s">
        <v>18</v>
      </c>
      <c r="C51" s="1" t="s">
        <v>37</v>
      </c>
    </row>
    <row r="53" customFormat="false" ht="14.25" hidden="false" customHeight="false" outlineLevel="0" collapsed="false">
      <c r="A53" s="1" t="n">
        <v>13</v>
      </c>
      <c r="B53" s="1" t="s">
        <v>33</v>
      </c>
    </row>
    <row r="54" customFormat="false" ht="14.25" hidden="false" customHeight="false" outlineLevel="0" collapsed="false">
      <c r="B54" s="1" t="s">
        <v>16</v>
      </c>
      <c r="C54" s="1" t="s">
        <v>38</v>
      </c>
    </row>
    <row r="55" customFormat="false" ht="14.25" hidden="false" customHeight="false" outlineLevel="0" collapsed="false">
      <c r="C55" s="1" t="s">
        <v>39</v>
      </c>
    </row>
    <row r="56" customFormat="false" ht="14.25" hidden="false" customHeight="false" outlineLevel="0" collapsed="false">
      <c r="B56" s="1" t="s">
        <v>18</v>
      </c>
      <c r="C56" s="1" t="s">
        <v>40</v>
      </c>
    </row>
    <row r="57" customFormat="false" ht="14.25" hidden="false" customHeight="false" outlineLevel="0" collapsed="false">
      <c r="C57" s="1" t="s">
        <v>39</v>
      </c>
    </row>
    <row r="58" customFormat="false" ht="14.25" hidden="false" customHeight="false" outlineLevel="0" collapsed="false">
      <c r="B58" s="1" t="s">
        <v>20</v>
      </c>
      <c r="C58" s="1" t="s">
        <v>41</v>
      </c>
    </row>
    <row r="59" customFormat="false" ht="14.25" hidden="false" customHeight="false" outlineLevel="0" collapsed="false">
      <c r="C59" s="1" t="s">
        <v>42</v>
      </c>
    </row>
    <row r="63" customFormat="false" ht="14.25" hidden="false" customHeight="false" outlineLevel="0" collapsed="false">
      <c r="A63" s="1" t="n">
        <v>14</v>
      </c>
      <c r="B63" s="1" t="s">
        <v>33</v>
      </c>
      <c r="D63" s="1" t="s">
        <v>43</v>
      </c>
    </row>
    <row r="65" customFormat="false" ht="14.25" hidden="false" customHeight="false" outlineLevel="0" collapsed="false">
      <c r="B65" s="1" t="s">
        <v>16</v>
      </c>
      <c r="C65" s="1" t="s">
        <v>17</v>
      </c>
    </row>
    <row r="66" customFormat="false" ht="14.25" hidden="false" customHeight="false" outlineLevel="0" collapsed="false">
      <c r="B66" s="1" t="s">
        <v>18</v>
      </c>
      <c r="C66" s="1" t="s">
        <v>44</v>
      </c>
    </row>
    <row r="67" customFormat="false" ht="14.25" hidden="false" customHeight="false" outlineLevel="0" collapsed="false">
      <c r="B67" s="1" t="s">
        <v>20</v>
      </c>
      <c r="C67" s="1" t="s">
        <v>45</v>
      </c>
    </row>
    <row r="68" customFormat="false" ht="14.25" hidden="false" customHeight="false" outlineLevel="0" collapsed="false">
      <c r="B68" s="1" t="s">
        <v>22</v>
      </c>
      <c r="C68" s="1" t="s">
        <v>46</v>
      </c>
    </row>
    <row r="69" customFormat="false" ht="14.25" hidden="false" customHeight="false" outlineLevel="0" collapsed="false">
      <c r="B69" s="1" t="s">
        <v>47</v>
      </c>
      <c r="C69" s="1" t="s">
        <v>48</v>
      </c>
    </row>
    <row r="71" customFormat="false" ht="14.25" hidden="false" customHeight="false" outlineLevel="0" collapsed="false">
      <c r="A71" s="1" t="s">
        <v>49</v>
      </c>
      <c r="B71" s="1" t="s">
        <v>50</v>
      </c>
    </row>
    <row r="73" customFormat="false" ht="14.25" hidden="false" customHeight="false" outlineLevel="0" collapsed="false">
      <c r="B73" s="1" t="s">
        <v>51</v>
      </c>
      <c r="C73" s="3" t="n">
        <v>0.3</v>
      </c>
    </row>
    <row r="74" customFormat="false" ht="14.25" hidden="false" customHeight="false" outlineLevel="0" collapsed="false">
      <c r="B74" s="1" t="s">
        <v>52</v>
      </c>
      <c r="C74" s="3" t="n">
        <v>0.2</v>
      </c>
    </row>
    <row r="75" customFormat="false" ht="14.25" hidden="false" customHeight="false" outlineLevel="0" collapsed="false">
      <c r="B75" s="1" t="s">
        <v>53</v>
      </c>
      <c r="C75" s="3" t="n">
        <v>0.1</v>
      </c>
    </row>
    <row r="77" customFormat="false" ht="14.25" hidden="false" customHeight="false" outlineLevel="0" collapsed="false">
      <c r="A77" s="1" t="s">
        <v>54</v>
      </c>
      <c r="B77" s="1" t="s">
        <v>55</v>
      </c>
    </row>
    <row r="78" customFormat="false" ht="14.25" hidden="false" customHeight="false" outlineLevel="0" collapsed="false">
      <c r="B78" s="1" t="s">
        <v>56</v>
      </c>
    </row>
    <row r="79" customFormat="false" ht="14.25" hidden="false" customHeight="false" outlineLevel="0" collapsed="false">
      <c r="B79" s="1" t="s">
        <v>57</v>
      </c>
    </row>
    <row r="81" customFormat="false" ht="14.25" hidden="false" customHeight="false" outlineLevel="0" collapsed="false">
      <c r="C81" s="2" t="s">
        <v>58</v>
      </c>
      <c r="D81" s="2" t="s">
        <v>59</v>
      </c>
    </row>
    <row r="82" customFormat="false" ht="14.25" hidden="false" customHeight="false" outlineLevel="0" collapsed="false">
      <c r="C82" s="1" t="s">
        <v>60</v>
      </c>
      <c r="D82" s="1" t="s">
        <v>61</v>
      </c>
    </row>
    <row r="83" customFormat="false" ht="14.25" hidden="false" customHeight="false" outlineLevel="0" collapsed="false">
      <c r="C83" s="1" t="s">
        <v>62</v>
      </c>
      <c r="D83" s="1" t="s">
        <v>63</v>
      </c>
    </row>
    <row r="84" customFormat="false" ht="14.25" hidden="false" customHeight="false" outlineLevel="0" collapsed="false">
      <c r="C84" s="1" t="s">
        <v>64</v>
      </c>
      <c r="D84" s="1" t="s">
        <v>65</v>
      </c>
    </row>
    <row r="86" customFormat="false" ht="14.25" hidden="false" customHeight="false" outlineLevel="0" collapsed="false">
      <c r="A86" s="2" t="s">
        <v>66</v>
      </c>
    </row>
    <row r="88" customFormat="false" ht="14.25" hidden="false" customHeight="false" outlineLevel="0" collapsed="false">
      <c r="A88" s="1" t="n">
        <v>15</v>
      </c>
      <c r="B88" s="1" t="s">
        <v>67</v>
      </c>
    </row>
    <row r="90" customFormat="false" ht="14.25" hidden="false" customHeight="false" outlineLevel="0" collapsed="false">
      <c r="A90" s="1" t="n">
        <v>16</v>
      </c>
      <c r="B90" s="1" t="s">
        <v>67</v>
      </c>
    </row>
    <row r="92" customFormat="false" ht="14.25" hidden="false" customHeight="false" outlineLevel="0" collapsed="false">
      <c r="A92" s="1" t="n">
        <v>17</v>
      </c>
      <c r="B92" s="1" t="s">
        <v>68</v>
      </c>
    </row>
    <row r="94" customFormat="false" ht="14.25" hidden="false" customHeight="false" outlineLevel="0" collapsed="false">
      <c r="A94" s="1" t="n">
        <v>18</v>
      </c>
      <c r="B94" s="1" t="s">
        <v>69</v>
      </c>
    </row>
    <row r="96" customFormat="false" ht="14.25" hidden="false" customHeight="false" outlineLevel="0" collapsed="false">
      <c r="A96" s="1" t="n">
        <v>19</v>
      </c>
      <c r="B96" s="1" t="s">
        <v>70</v>
      </c>
    </row>
    <row r="98" customFormat="false" ht="14.25" hidden="false" customHeight="false" outlineLevel="0" collapsed="false">
      <c r="A98" s="1" t="n">
        <v>20</v>
      </c>
      <c r="B98" s="1" t="s">
        <v>71</v>
      </c>
    </row>
    <row r="100" customFormat="false" ht="14.25" hidden="false" customHeight="false" outlineLevel="0" collapsed="false">
      <c r="A100" s="1" t="n">
        <v>21</v>
      </c>
      <c r="B100" s="1" t="s">
        <v>72</v>
      </c>
    </row>
    <row r="102" customFormat="false" ht="14.25" hidden="false" customHeight="false" outlineLevel="0" collapsed="false">
      <c r="A102" s="1" t="n">
        <v>22</v>
      </c>
      <c r="B102" s="1" t="s">
        <v>73</v>
      </c>
    </row>
    <row r="104" customFormat="false" ht="14.25" hidden="false" customHeight="false" outlineLevel="0" collapsed="false">
      <c r="A104" s="1" t="n">
        <v>23</v>
      </c>
      <c r="B104" s="1" t="s">
        <v>74</v>
      </c>
    </row>
    <row r="106" customFormat="false" ht="41.75" hidden="false" customHeight="false" outlineLevel="0" collapsed="false">
      <c r="C106" s="2" t="s">
        <v>75</v>
      </c>
      <c r="D106" s="2" t="s">
        <v>76</v>
      </c>
      <c r="E106" s="4" t="s">
        <v>77</v>
      </c>
      <c r="F106" s="2" t="s">
        <v>78</v>
      </c>
    </row>
    <row r="107" customFormat="false" ht="14.25" hidden="false" customHeight="false" outlineLevel="0" collapsed="false">
      <c r="C107" s="1" t="s">
        <v>79</v>
      </c>
      <c r="D107" s="1" t="n">
        <v>30000</v>
      </c>
      <c r="F107" s="1" t="s">
        <v>80</v>
      </c>
    </row>
    <row r="108" customFormat="false" ht="14.25" hidden="false" customHeight="false" outlineLevel="0" collapsed="false">
      <c r="C108" s="1" t="s">
        <v>81</v>
      </c>
      <c r="D108" s="1" t="n">
        <v>20000</v>
      </c>
      <c r="F108" s="1" t="s">
        <v>82</v>
      </c>
    </row>
    <row r="109" customFormat="false" ht="14.25" hidden="false" customHeight="false" outlineLevel="0" collapsed="false">
      <c r="C109" s="1" t="s">
        <v>83</v>
      </c>
      <c r="D109" s="1" t="n">
        <v>10000</v>
      </c>
      <c r="F109" s="1" t="s">
        <v>84</v>
      </c>
    </row>
    <row r="110" customFormat="false" ht="14.25" hidden="false" customHeight="false" outlineLevel="0" collapsed="false">
      <c r="C110" s="1" t="s">
        <v>85</v>
      </c>
      <c r="D110" s="1" t="n">
        <v>0</v>
      </c>
      <c r="F110" s="1" t="s">
        <v>86</v>
      </c>
    </row>
    <row r="112" customFormat="false" ht="14.25" hidden="false" customHeight="false" outlineLevel="0" collapsed="false">
      <c r="A112" s="1" t="n">
        <v>15</v>
      </c>
      <c r="B112" s="1" t="s">
        <v>87</v>
      </c>
    </row>
    <row r="114" customFormat="false" ht="17.15" hidden="false" customHeight="false" outlineLevel="0" collapsed="false">
      <c r="A114" s="1" t="n">
        <v>16</v>
      </c>
      <c r="B114" s="1" t="s">
        <v>88</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7.00390625" defaultRowHeight="14.25" zeroHeight="false" outlineLevelRow="0" outlineLevelCol="0"/>
  <cols>
    <col collapsed="false" customWidth="true" hidden="false" outlineLevel="0" max="1" min="1" style="0" width="18.88"/>
    <col collapsed="false" customWidth="true" hidden="false" outlineLevel="0" max="2" min="2" style="0" width="10.66"/>
    <col collapsed="false" customWidth="true" hidden="false" outlineLevel="0" max="3" min="3" style="0" width="11.56"/>
    <col collapsed="false" customWidth="true" hidden="false" outlineLevel="0" max="4" min="4" style="0" width="18.11"/>
    <col collapsed="false" customWidth="true" hidden="false" outlineLevel="0" max="5" min="5" style="0" width="14.33"/>
    <col collapsed="false" customWidth="true" hidden="false" outlineLevel="0" max="6" min="6" style="0" width="20.56"/>
    <col collapsed="false" customWidth="true" hidden="false" outlineLevel="0" max="7" min="7" style="0" width="14.33"/>
    <col collapsed="false" customWidth="true" hidden="false" outlineLevel="0" max="8" min="8" style="0" width="11"/>
    <col collapsed="false" customWidth="true" hidden="false" outlineLevel="0" max="10" min="9" style="0" width="16.44"/>
    <col collapsed="false" customWidth="true" hidden="false" outlineLevel="0" max="11" min="11" style="0" width="13.67"/>
    <col collapsed="false" customWidth="true" hidden="false" outlineLevel="0" max="12" min="12" style="0" width="10.66"/>
    <col collapsed="false" customWidth="true" hidden="false" outlineLevel="0" max="13" min="13" style="0" width="12.11"/>
    <col collapsed="false" customWidth="true" hidden="false" outlineLevel="0" max="14" min="14" style="0" width="16.44"/>
    <col collapsed="false" customWidth="true" hidden="false" outlineLevel="0" max="15" min="15" style="0" width="14.56"/>
    <col collapsed="false" customWidth="true" hidden="false" outlineLevel="0" max="17" min="16" style="0" width="12.11"/>
    <col collapsed="false" customWidth="true" hidden="false" outlineLevel="0" max="19" min="18" style="0" width="9.88"/>
    <col collapsed="false" customWidth="true" hidden="false" outlineLevel="0" max="21" min="20" style="0" width="12.11"/>
    <col collapsed="false" customWidth="true" hidden="false" outlineLevel="0" max="22" min="22" style="0" width="31.56"/>
    <col collapsed="false" customWidth="true" hidden="false" outlineLevel="0" max="23" min="23" style="0" width="9.88"/>
    <col collapsed="false" customWidth="true" hidden="false" outlineLevel="0" max="24" min="24" style="0" width="11.11"/>
    <col collapsed="false" customWidth="true" hidden="false" outlineLevel="0" max="25" min="25" style="0" width="14.88"/>
    <col collapsed="false" customWidth="true" hidden="false" outlineLevel="0" max="26" min="26" style="0" width="11.11"/>
    <col collapsed="false" customWidth="true" hidden="false" outlineLevel="0" max="27" min="27" style="0" width="11.44"/>
    <col collapsed="false" customWidth="true" hidden="false" outlineLevel="0" max="33" min="28" style="0" width="23.88"/>
    <col collapsed="false" customWidth="true" hidden="false" outlineLevel="0" max="34" min="34" style="0" width="13.11"/>
    <col collapsed="false" customWidth="true" hidden="false" outlineLevel="0" max="35" min="35" style="0" width="3"/>
    <col collapsed="false" customWidth="true" hidden="false" outlineLevel="0" max="36" min="36" style="0" width="10.88"/>
    <col collapsed="false" customWidth="true" hidden="false" outlineLevel="0" max="39" min="37" style="0" width="11.53"/>
    <col collapsed="false" customWidth="true" hidden="false" outlineLevel="0" max="40" min="40" style="1" width="13.67"/>
    <col collapsed="false" customWidth="true" hidden="false" outlineLevel="0" max="41" min="41" style="1" width="15.44"/>
    <col collapsed="false" customWidth="false" hidden="false" outlineLevel="0" max="43" min="42" style="1" width="7"/>
  </cols>
  <sheetData>
    <row r="1" customFormat="false" ht="14.25" hidden="false" customHeight="false" outlineLevel="0" collapsed="false">
      <c r="A1" s="5" t="n">
        <v>45544</v>
      </c>
      <c r="F1" s="6"/>
      <c r="J1" s="1"/>
      <c r="K1" s="1"/>
      <c r="L1" s="1"/>
      <c r="M1" s="1"/>
      <c r="N1" s="1"/>
      <c r="O1" s="1"/>
    </row>
    <row r="2" customFormat="false" ht="14.25" hidden="false" customHeight="false" outlineLevel="0" collapsed="false">
      <c r="A2" s="5"/>
      <c r="F2" s="6"/>
      <c r="J2" s="1"/>
      <c r="K2" s="1"/>
      <c r="L2" s="1"/>
      <c r="M2" s="1"/>
    </row>
    <row r="3" customFormat="false" ht="14.25" hidden="false" customHeight="false" outlineLevel="0" collapsed="false">
      <c r="A3" s="5"/>
      <c r="F3" s="6"/>
      <c r="J3" s="1"/>
      <c r="L3" s="1"/>
      <c r="M3" s="1"/>
      <c r="V3" s="1" t="s">
        <v>30</v>
      </c>
      <c r="W3" s="1"/>
      <c r="X3" s="1"/>
    </row>
    <row r="4" customFormat="false" ht="14.25" hidden="false" customHeight="false" outlineLevel="0" collapsed="false">
      <c r="A4" s="5"/>
      <c r="F4" s="6"/>
      <c r="J4" s="1"/>
      <c r="K4" s="1"/>
      <c r="M4" s="1"/>
      <c r="V4" s="1" t="s">
        <v>31</v>
      </c>
      <c r="W4" s="1"/>
      <c r="X4" s="1"/>
    </row>
    <row r="5" customFormat="false" ht="14.25" hidden="false" customHeight="false" outlineLevel="0" collapsed="false">
      <c r="A5" s="5"/>
      <c r="F5" s="6"/>
      <c r="J5" s="1"/>
      <c r="K5" s="1"/>
      <c r="L5" s="1"/>
      <c r="M5" s="1"/>
      <c r="V5" s="1" t="s">
        <v>32</v>
      </c>
      <c r="W5" s="1"/>
      <c r="X5" s="1"/>
    </row>
    <row r="6" customFormat="false" ht="14.25" hidden="false" customHeight="false" outlineLevel="0" collapsed="false">
      <c r="A6" s="5"/>
      <c r="F6" s="6"/>
      <c r="J6" s="1"/>
      <c r="K6" s="1"/>
      <c r="L6" s="1"/>
      <c r="M6" s="1"/>
      <c r="N6" s="1"/>
      <c r="P6" s="1"/>
      <c r="Q6" s="1"/>
      <c r="R6" s="1"/>
      <c r="S6" s="1"/>
    </row>
    <row r="7" customFormat="false" ht="57.45" hidden="false" customHeight="false" outlineLevel="0" collapsed="false">
      <c r="F7" s="7" t="s">
        <v>89</v>
      </c>
      <c r="G7" s="7" t="s">
        <v>90</v>
      </c>
      <c r="H7" s="7" t="s">
        <v>91</v>
      </c>
      <c r="I7" s="7" t="s">
        <v>91</v>
      </c>
      <c r="J7" s="7" t="s">
        <v>91</v>
      </c>
      <c r="K7" s="7"/>
      <c r="L7" s="7"/>
      <c r="M7" s="7"/>
      <c r="N7" s="7" t="s">
        <v>91</v>
      </c>
      <c r="O7" s="7"/>
      <c r="P7" s="7" t="s">
        <v>91</v>
      </c>
      <c r="Q7" s="7"/>
      <c r="R7" s="7" t="s">
        <v>91</v>
      </c>
      <c r="S7" s="7"/>
      <c r="T7" s="7" t="s">
        <v>91</v>
      </c>
      <c r="U7" s="7"/>
      <c r="V7" s="7" t="s">
        <v>91</v>
      </c>
      <c r="W7" s="7"/>
      <c r="X7" s="7" t="s">
        <v>91</v>
      </c>
      <c r="Y7" s="7" t="s">
        <v>91</v>
      </c>
      <c r="Z7" s="7" t="s">
        <v>91</v>
      </c>
      <c r="AA7" s="7"/>
      <c r="AB7" s="7" t="str">
        <f aca="false">_xlfn.FORMULATEXT(AB9)</f>
        <v>=_xlfn.xlookup(E9,$AJ$10:$AJ$14,$AK$10:$AK$14,0,-1,1)</v>
      </c>
      <c r="AC7" s="7"/>
      <c r="AD7" s="7"/>
      <c r="AE7" s="7"/>
      <c r="AF7" s="7" t="str">
        <f aca="false">_xlfn.FORMULATEXT(AF9)</f>
        <v>=VLOOKUP(D9,$AN$10:$AO$12,2,TRUE())</v>
      </c>
      <c r="AG7" s="7"/>
    </row>
    <row r="8" s="8" customFormat="true" ht="46.25" hidden="false" customHeight="false" outlineLevel="0" collapsed="false">
      <c r="A8" s="7" t="s">
        <v>92</v>
      </c>
      <c r="B8" s="7" t="s">
        <v>93</v>
      </c>
      <c r="C8" s="8" t="s">
        <v>94</v>
      </c>
      <c r="D8" s="8" t="s">
        <v>95</v>
      </c>
      <c r="E8" s="7" t="s">
        <v>96</v>
      </c>
      <c r="F8" s="8" t="s">
        <v>97</v>
      </c>
      <c r="G8" s="8" t="s">
        <v>98</v>
      </c>
      <c r="H8" s="8" t="s">
        <v>99</v>
      </c>
      <c r="I8" s="8" t="s">
        <v>100</v>
      </c>
      <c r="J8" s="8" t="s">
        <v>101</v>
      </c>
      <c r="K8" s="7" t="s">
        <v>102</v>
      </c>
      <c r="L8" s="7" t="s">
        <v>103</v>
      </c>
      <c r="M8" s="7" t="s">
        <v>104</v>
      </c>
      <c r="N8" s="8" t="s">
        <v>105</v>
      </c>
      <c r="O8" s="7" t="s">
        <v>106</v>
      </c>
      <c r="P8" s="8" t="s">
        <v>107</v>
      </c>
      <c r="Q8" s="7" t="s">
        <v>108</v>
      </c>
      <c r="R8" s="8" t="s">
        <v>109</v>
      </c>
      <c r="S8" s="7" t="s">
        <v>110</v>
      </c>
      <c r="T8" s="8" t="s">
        <v>111</v>
      </c>
      <c r="U8" s="7" t="s">
        <v>112</v>
      </c>
      <c r="V8" s="8" t="s">
        <v>113</v>
      </c>
      <c r="W8" s="7" t="s">
        <v>114</v>
      </c>
      <c r="X8" s="8" t="s">
        <v>115</v>
      </c>
      <c r="Y8" s="8" t="s">
        <v>116</v>
      </c>
      <c r="Z8" s="8" t="s">
        <v>117</v>
      </c>
      <c r="AA8" s="7" t="s">
        <v>118</v>
      </c>
      <c r="AB8" s="7" t="s">
        <v>119</v>
      </c>
      <c r="AC8" s="7" t="s">
        <v>120</v>
      </c>
      <c r="AD8" s="7" t="s">
        <v>121</v>
      </c>
      <c r="AE8" s="7" t="s">
        <v>122</v>
      </c>
      <c r="AF8" s="7" t="s">
        <v>123</v>
      </c>
      <c r="AG8" s="7" t="s">
        <v>124</v>
      </c>
      <c r="AH8" s="7" t="s">
        <v>125</v>
      </c>
      <c r="AJ8" s="9" t="s">
        <v>126</v>
      </c>
      <c r="AN8" s="9" t="s">
        <v>127</v>
      </c>
      <c r="AO8" s="9"/>
      <c r="AP8" s="9"/>
      <c r="AQ8" s="9"/>
    </row>
    <row r="9" customFormat="false" ht="14.25" hidden="false" customHeight="false" outlineLevel="0" collapsed="false">
      <c r="A9" s="0" t="s">
        <v>128</v>
      </c>
      <c r="B9" s="0" t="s">
        <v>129</v>
      </c>
      <c r="C9" s="5" t="n">
        <v>44197</v>
      </c>
      <c r="D9" s="10" t="s">
        <v>51</v>
      </c>
      <c r="E9" s="11" t="n">
        <v>12000</v>
      </c>
      <c r="F9" s="12" t="n">
        <f aca="true">ROUND((TODAY()-C9)/365.25,0)</f>
        <v>5</v>
      </c>
      <c r="G9" s="13" t="str">
        <f aca="false">A9&amp;" "&amp;B9</f>
        <v>Joe Smith</v>
      </c>
      <c r="H9" s="14" t="n">
        <f aca="false">5%*F9*E9</f>
        <v>3000</v>
      </c>
      <c r="I9" s="15" t="n">
        <f aca="false">MIN(5%*F9,25%)*E9</f>
        <v>3000</v>
      </c>
      <c r="J9" s="15" t="n">
        <f aca="false">IF(E9&lt;AVERAGE(E$9:E$17),10%,20%)*E9</f>
        <v>1200</v>
      </c>
      <c r="K9" s="15" t="n">
        <f aca="false">IF(E9&lt;AVERAGE(E$9:E$17),10%*E9,20%*E9)</f>
        <v>1200</v>
      </c>
      <c r="L9" s="15" t="n">
        <f aca="false">IF(E9&lt;AVERAGE(E$9:E$17),10%,20%)</f>
        <v>0.1</v>
      </c>
      <c r="M9" s="15" t="n">
        <f aca="false">E9*L9</f>
        <v>1200</v>
      </c>
      <c r="N9" s="15" t="n">
        <f aca="false">10%*E9+IF(E9=MAX($E$9:$E$17),5000,0)</f>
        <v>1200</v>
      </c>
      <c r="O9" s="16" t="n">
        <f aca="false">E9=MAX($E$9:$E$17)</f>
        <v>0</v>
      </c>
      <c r="P9" s="15" t="n">
        <f aca="false">IF(20%*E9&lt;2000,2000,20%*E9)</f>
        <v>2400</v>
      </c>
      <c r="Q9" s="15" t="n">
        <f aca="false">IF(20%*E9&gt;2000,20%*E9,2000)</f>
        <v>2400</v>
      </c>
      <c r="R9" s="17" t="n">
        <f aca="false">IF(E9=MIN(E$9:E$17),5%*E9,IF(E9=MAX(E$9:E$17),15%*E9,10%*E9))</f>
        <v>1200</v>
      </c>
      <c r="S9" s="17" t="n">
        <f aca="false">IF(E9=MIN(E$9:E$17),5%,IF(E9=MAX(E$9:E$17),15%,10%))*E9</f>
        <v>1200</v>
      </c>
      <c r="T9" s="11" t="n">
        <f aca="false">IF(E9&gt;=50000,30%*E9,IF(E9&gt;=30000,20%*E9,IF(E9&gt;=10000,10%*E9,500)))</f>
        <v>1200</v>
      </c>
      <c r="U9" s="11" t="n">
        <f aca="false">IF(E9&lt;10000,500,E9*IF(E9&lt;30000,10%,IF(E9&lt;50000,20%,30%)))</f>
        <v>1200</v>
      </c>
      <c r="V9" s="17" t="n">
        <f aca="false">E9*IF(D9="Manager",15%,IF(D9="Sr. Salesperson",10%,5%))</f>
        <v>1800</v>
      </c>
      <c r="W9" s="17" t="n">
        <f aca="false">E9*IF(D9="Manager",
               15%,
               IF(D9="Sr. Salesperson",10%,IF(D9="Salesperson",5%,0)))</f>
        <v>1800</v>
      </c>
      <c r="X9" s="15" t="n">
        <f aca="false">E9*IF(AND(D9="Manager",F9&gt;=5),40%,10%)</f>
        <v>4800</v>
      </c>
      <c r="Y9" s="17" t="n">
        <f aca="false">E9*IF(OR(D9="Manager",F9&gt;=5),40%,10%)</f>
        <v>4800</v>
      </c>
      <c r="Z9" s="17" t="n">
        <f aca="false">IF(D9="Manager",20%,IF(AND(D9="Sr. Salesperson",F9&gt;=5),20%,10%))*E9</f>
        <v>2400</v>
      </c>
      <c r="AA9" s="17" t="n">
        <f aca="false">IF(OR(D9="Manager",AND(D9="Sr. Salesperson",F9&gt;=5)),20%,10%)*E9</f>
        <v>2400</v>
      </c>
      <c r="AB9" s="10" t="n">
        <f aca="false">_xlfn.xlookup(E9,$AJ$10:$AJ$14,$AK$10:$AK$14,0,-1,1)</f>
        <v>0.03</v>
      </c>
      <c r="AC9" s="10" t="n">
        <f aca="false">VLOOKUP(E9,$AJ$18:$AL$24,2,TRUE())</f>
        <v>0.03</v>
      </c>
      <c r="AE9" s="10" t="str">
        <f aca="false">VLOOKUP(E9,$AJ$18:$AL$24,3,TRUE())</f>
        <v>do better</v>
      </c>
      <c r="AF9" s="10" t="n">
        <f aca="false">VLOOKUP(D9,$AN$10:$AO$12,2,TRUE())</f>
        <v>0.3</v>
      </c>
      <c r="AG9" s="10" t="str">
        <f aca="false">VLOOKUP(B9,$AN$17:$AP$19,3,TRUE())</f>
        <v>wed</v>
      </c>
      <c r="AJ9" s="10" t="s">
        <v>130</v>
      </c>
      <c r="AK9" s="10" t="s">
        <v>131</v>
      </c>
      <c r="AL9" s="10" t="s">
        <v>132</v>
      </c>
      <c r="AN9" s="1" t="s">
        <v>95</v>
      </c>
      <c r="AO9" s="1" t="s">
        <v>133</v>
      </c>
    </row>
    <row r="10" customFormat="false" ht="14.25" hidden="false" customHeight="false" outlineLevel="0" collapsed="false">
      <c r="A10" s="0" t="s">
        <v>134</v>
      </c>
      <c r="B10" s="0" t="s">
        <v>135</v>
      </c>
      <c r="C10" s="5" t="n">
        <v>44927</v>
      </c>
      <c r="D10" s="10" t="s">
        <v>53</v>
      </c>
      <c r="E10" s="11" t="n">
        <v>9000</v>
      </c>
      <c r="F10" s="12" t="n">
        <f aca="true">ROUND((TODAY()-C10)/365.25,0)</f>
        <v>3</v>
      </c>
      <c r="G10" s="13" t="str">
        <f aca="false">A10&amp;" "&amp;B10</f>
        <v>Sam Lee</v>
      </c>
      <c r="H10" s="14" t="n">
        <f aca="false">5%*F10*E10</f>
        <v>1350</v>
      </c>
      <c r="I10" s="15" t="n">
        <f aca="false">MIN(5%*F10,25%)*E10</f>
        <v>1350</v>
      </c>
      <c r="J10" s="15" t="n">
        <f aca="false">IF(E10&lt;AVERAGE(E$9:E$17),10%,20%)*E10</f>
        <v>900</v>
      </c>
      <c r="K10" s="15" t="n">
        <f aca="false">IF(E10&lt;AVERAGE(E$9:E$17),10%*E10,20%*E10)</f>
        <v>900</v>
      </c>
      <c r="L10" s="15" t="n">
        <f aca="false">IF(E10&lt;AVERAGE(E$9:E$17),10%,20%)</f>
        <v>0.1</v>
      </c>
      <c r="M10" s="15" t="n">
        <f aca="false">E10*L10</f>
        <v>900</v>
      </c>
      <c r="N10" s="15" t="n">
        <f aca="false">10%*E10+IF(E10=MAX($E$9:$E$17),5000,0)</f>
        <v>900</v>
      </c>
      <c r="O10" s="16" t="n">
        <f aca="false">E10=MAX($E$9:$E$17)</f>
        <v>0</v>
      </c>
      <c r="P10" s="15" t="n">
        <f aca="false">IF(20%*E10&lt;2000,2000,20%*E10)</f>
        <v>2000</v>
      </c>
      <c r="Q10" s="15" t="n">
        <f aca="false">IF(20%*E10&gt;2000,20%*E10,2000)</f>
        <v>2000</v>
      </c>
      <c r="R10" s="17" t="n">
        <f aca="false">IF(E10=MIN(E$9:E$17),5%*E10,IF(E10=MAX(E$9:E$17),15%*E10,10%*E10))</f>
        <v>900</v>
      </c>
      <c r="S10" s="17" t="n">
        <f aca="false">IF(E10=MIN(E$9:E$17),5%,IF(E10=MAX(E$9:E$17),15%,10%))*E10</f>
        <v>900</v>
      </c>
      <c r="T10" s="11" t="n">
        <f aca="false">IF(E10&gt;=50000,30%*E10,IF(E10&gt;=30000,20%*E10,IF(E10&gt;=10000,10%*E10,500)))</f>
        <v>500</v>
      </c>
      <c r="U10" s="11" t="n">
        <f aca="false">IF(E10&lt;10000,500,E10*IF(E10&lt;30000,10%,IF(E10&lt;50000,20%,30%)))</f>
        <v>500</v>
      </c>
      <c r="V10" s="17" t="n">
        <f aca="false">E10*IF(D10="Manager",15%,IF(D10="Sr. Salesperson",10%,5%))</f>
        <v>450</v>
      </c>
      <c r="W10" s="17" t="n">
        <f aca="false">E10*IF(D10="Manager",
               15%,
               IF(D10="Sr. Salesperson",10%,IF(D10="Salesperson",5%,0)))</f>
        <v>450</v>
      </c>
      <c r="X10" s="15" t="n">
        <f aca="false">E10*IF(AND(D10="Manager",F10&gt;=5),40%,10%)</f>
        <v>900</v>
      </c>
      <c r="Y10" s="17" t="n">
        <f aca="false">E10*IF(OR(D10="Manager",F10&gt;=5),40%,10%)</f>
        <v>900</v>
      </c>
      <c r="Z10" s="17" t="n">
        <f aca="false">IF(D10="Manager",20%,IF(AND(D10="Sr. Salesperson",F10&gt;=5),20%,10%))*E10</f>
        <v>900</v>
      </c>
      <c r="AA10" s="17" t="n">
        <f aca="false">IF(OR(D10="Manager",AND(D10="Sr. Salesperson",F10&gt;=5)),20%,10%)*E10</f>
        <v>900</v>
      </c>
      <c r="AB10" s="10" t="e">
        <f aca="false">_xlfn.xlookup(E10,$AJ$10:$AJ$14,$AK$10:$AK$14,0,-1,1)</f>
        <v>#NAME?</v>
      </c>
      <c r="AC10" s="10" t="n">
        <f aca="false">VLOOKUP(E10,$AJ$18:$AL$24,2,TRUE())</f>
        <v>0</v>
      </c>
      <c r="AE10" s="10" t="str">
        <f aca="false">VLOOKUP(E10,$AJ$18:$AL$24,3,TRUE())</f>
        <v>goodby</v>
      </c>
      <c r="AF10" s="10" t="n">
        <f aca="false">VLOOKUP(D10,$AN$10:$AO$12,2,TRUE())</f>
        <v>0.3</v>
      </c>
      <c r="AG10" s="10" t="str">
        <f aca="false">VLOOKUP(B10,$AN$17:$AP$19,3,TRUE())</f>
        <v>tue</v>
      </c>
      <c r="AJ10" s="17" t="n">
        <v>50000</v>
      </c>
      <c r="AK10" s="18" t="n">
        <v>0.3</v>
      </c>
      <c r="AL10" s="10" t="s">
        <v>136</v>
      </c>
      <c r="AN10" s="1" t="s">
        <v>51</v>
      </c>
      <c r="AO10" s="3" t="n">
        <v>0.3</v>
      </c>
    </row>
    <row r="11" customFormat="false" ht="14.25" hidden="false" customHeight="false" outlineLevel="0" collapsed="false">
      <c r="A11" s="0" t="s">
        <v>137</v>
      </c>
      <c r="B11" s="0" t="s">
        <v>138</v>
      </c>
      <c r="C11" s="5" t="n">
        <v>45444</v>
      </c>
      <c r="D11" s="10" t="s">
        <v>53</v>
      </c>
      <c r="E11" s="11" t="n">
        <v>25000</v>
      </c>
      <c r="F11" s="12" t="n">
        <f aca="true">ROUND((TODAY()-C11)/365.25,0)</f>
        <v>2</v>
      </c>
      <c r="G11" s="13" t="str">
        <f aca="false">A11&amp;" "&amp;B11</f>
        <v>Sue Sallinger</v>
      </c>
      <c r="H11" s="14" t="n">
        <f aca="false">5%*F11*E11</f>
        <v>2500</v>
      </c>
      <c r="I11" s="15" t="n">
        <f aca="false">MIN(5%*F11,25%)*E11</f>
        <v>2500</v>
      </c>
      <c r="J11" s="15" t="n">
        <f aca="false">IF(E11&lt;AVERAGE(E$9:E$17),10%,20%)*E11</f>
        <v>2500</v>
      </c>
      <c r="K11" s="15" t="n">
        <f aca="false">IF(E11&lt;AVERAGE(E$9:E$17),10%*E11,20%*E11)</f>
        <v>2500</v>
      </c>
      <c r="L11" s="15" t="n">
        <f aca="false">IF(E11&lt;AVERAGE(E$9:E$17),10%,20%)</f>
        <v>0.1</v>
      </c>
      <c r="M11" s="15" t="n">
        <f aca="false">E11*L11</f>
        <v>2500</v>
      </c>
      <c r="N11" s="15" t="n">
        <f aca="false">10%*E11+IF(E11=MAX($E$9:$E$17),5000,0)</f>
        <v>2500</v>
      </c>
      <c r="O11" s="16" t="n">
        <f aca="false">E11=MAX($E$9:$E$17)</f>
        <v>0</v>
      </c>
      <c r="P11" s="15" t="n">
        <f aca="false">IF(20%*E11&lt;2000,2000,20%*E11)</f>
        <v>5000</v>
      </c>
      <c r="Q11" s="15" t="n">
        <f aca="false">IF(20%*E11&gt;2000,20%*E11,2000)</f>
        <v>5000</v>
      </c>
      <c r="R11" s="17" t="n">
        <f aca="false">IF(E11=MIN(E$9:E$17),5%*E11,IF(E11=MAX(E$9:E$17),15%*E11,10%*E11))</f>
        <v>2500</v>
      </c>
      <c r="S11" s="17" t="n">
        <f aca="false">IF(E11=MIN(E$9:E$17),5%,IF(E11=MAX(E$9:E$17),15%,10%))*E11</f>
        <v>2500</v>
      </c>
      <c r="T11" s="11" t="n">
        <f aca="false">IF(E11&gt;=50000,30%*E11,IF(E11&gt;=30000,20%*E11,IF(E11&gt;=10000,10%*E11,500)))</f>
        <v>2500</v>
      </c>
      <c r="U11" s="11" t="n">
        <f aca="false">IF(E11&lt;10000,500,E11*IF(E11&lt;30000,10%,IF(E11&lt;50000,20%,30%)))</f>
        <v>2500</v>
      </c>
      <c r="V11" s="17" t="n">
        <f aca="false">E11*IF(D11="Manager",15%,IF(D11="Sr. Salesperson",10%,5%))</f>
        <v>1250</v>
      </c>
      <c r="W11" s="17" t="n">
        <f aca="false">E11*IF(D11="Manager",
               15%,
               IF(D11="Sr. Salesperson",10%,IF(D11="Salesperson",5%,0)))</f>
        <v>1250</v>
      </c>
      <c r="X11" s="15" t="n">
        <f aca="false">E11*IF(AND(D11="Manager",F11&gt;=5),40%,10%)</f>
        <v>2500</v>
      </c>
      <c r="Y11" s="17" t="n">
        <f aca="false">E11*IF(OR(D11="Manager",F11&gt;=5),40%,10%)</f>
        <v>2500</v>
      </c>
      <c r="Z11" s="17" t="n">
        <f aca="false">IF(D11="Manager",20%,IF(AND(D11="Sr. Salesperson",F11&gt;=5),20%,10%))*E11</f>
        <v>2500</v>
      </c>
      <c r="AA11" s="17" t="n">
        <f aca="false">IF(OR(D11="Manager",AND(D11="Sr. Salesperson",F11&gt;=5)),20%,10%)*E11</f>
        <v>2500</v>
      </c>
      <c r="AB11" s="10" t="e">
        <f aca="false">_xlfn.xlookup(E11,$AJ$10:$AJ$14,$AK$10:$AK$14,0,-1,1)</f>
        <v>#NAME?</v>
      </c>
      <c r="AC11" s="10" t="n">
        <f aca="false">VLOOKUP(E11,$AJ$18:$AL$24,2,TRUE())</f>
        <v>0.05</v>
      </c>
      <c r="AE11" s="10" t="str">
        <f aca="false">VLOOKUP(E11,$AJ$18:$AL$24,3,TRUE())</f>
        <v>fair</v>
      </c>
      <c r="AF11" s="10" t="n">
        <f aca="false">VLOOKUP(D11,$AN$10:$AO$12,2,TRUE())</f>
        <v>0.3</v>
      </c>
      <c r="AG11" s="10" t="str">
        <f aca="false">VLOOKUP(B11,$AN$17:$AP$19,3,TRUE())</f>
        <v>wed</v>
      </c>
      <c r="AJ11" s="17" t="n">
        <v>40000</v>
      </c>
      <c r="AK11" s="18" t="n">
        <v>0.2</v>
      </c>
      <c r="AL11" s="10" t="s">
        <v>139</v>
      </c>
      <c r="AN11" s="1" t="s">
        <v>140</v>
      </c>
      <c r="AO11" s="3" t="n">
        <v>0.2</v>
      </c>
    </row>
    <row r="12" customFormat="false" ht="14.25" hidden="false" customHeight="false" outlineLevel="0" collapsed="false">
      <c r="A12" s="0" t="s">
        <v>141</v>
      </c>
      <c r="B12" s="0" t="s">
        <v>142</v>
      </c>
      <c r="C12" s="5" t="n">
        <v>43101</v>
      </c>
      <c r="D12" s="10" t="s">
        <v>143</v>
      </c>
      <c r="E12" s="11" t="n">
        <v>7899</v>
      </c>
      <c r="F12" s="12" t="n">
        <f aca="true">ROUND((TODAY()-C12)/365.25,0)</f>
        <v>8</v>
      </c>
      <c r="G12" s="13" t="str">
        <f aca="false">A12&amp;" "&amp;B12</f>
        <v>Barb Brown</v>
      </c>
      <c r="H12" s="14" t="n">
        <f aca="false">5%*F12*E12</f>
        <v>3159.6</v>
      </c>
      <c r="I12" s="15" t="n">
        <f aca="false">MIN(5%*F12,25%)*E12</f>
        <v>1974.75</v>
      </c>
      <c r="J12" s="15" t="n">
        <f aca="false">IF(E12&lt;AVERAGE(E$9:E$17),10%,20%)*E12</f>
        <v>789.9</v>
      </c>
      <c r="K12" s="15" t="n">
        <f aca="false">IF(E12&lt;AVERAGE(E$9:E$17),10%*E12,20%*E12)</f>
        <v>789.9</v>
      </c>
      <c r="L12" s="15" t="n">
        <f aca="false">IF(E12&lt;AVERAGE(E$9:E$17),10%,20%)</f>
        <v>0.1</v>
      </c>
      <c r="M12" s="15" t="n">
        <f aca="false">E12*L12</f>
        <v>789.9</v>
      </c>
      <c r="N12" s="15" t="n">
        <f aca="false">10%*E12+IF(E12=MAX($E$9:$E$17),5000,0)</f>
        <v>789.9</v>
      </c>
      <c r="O12" s="16" t="n">
        <f aca="false">E12=MAX($E$9:$E$17)</f>
        <v>0</v>
      </c>
      <c r="P12" s="15" t="n">
        <f aca="false">IF(20%*E12&lt;2000,2000,20%*E12)</f>
        <v>2000</v>
      </c>
      <c r="Q12" s="15" t="n">
        <f aca="false">IF(20%*E12&gt;2000,20%*E12,2000)</f>
        <v>2000</v>
      </c>
      <c r="R12" s="17" t="n">
        <f aca="false">IF(E12=MIN(E$9:E$17),5%*E12,IF(E12=MAX(E$9:E$17),15%*E12,10%*E12))</f>
        <v>394.95</v>
      </c>
      <c r="S12" s="17" t="n">
        <f aca="false">IF(E12=MIN(E$9:E$17),5%,IF(E12=MAX(E$9:E$17),15%,10%))*E12</f>
        <v>394.95</v>
      </c>
      <c r="T12" s="11" t="n">
        <f aca="false">IF(E12&gt;=50000,30%*E12,IF(E12&gt;=30000,20%*E12,IF(E12&gt;=10000,10%*E12,500)))</f>
        <v>500</v>
      </c>
      <c r="U12" s="11" t="n">
        <f aca="false">IF(E12&lt;10000,500,E12*IF(E12&lt;30000,10%,IF(E12&lt;50000,20%,30%)))</f>
        <v>500</v>
      </c>
      <c r="V12" s="17" t="n">
        <f aca="false">E12*IF(D12="Manager",15%,IF(D12="Sr. Salesperson",10%,5%))</f>
        <v>394.95</v>
      </c>
      <c r="W12" s="17" t="n">
        <f aca="false">E12*IF(D12="Manager",
               15%,
               IF(D12="Sr. Salesperson",
                    10%,
                    IF(D12="Salesperson",5%,0)))</f>
        <v>0</v>
      </c>
      <c r="X12" s="15" t="n">
        <f aca="false">E12*IF(AND(D12="Manager",F12&gt;=5),40%,10%)</f>
        <v>789.9</v>
      </c>
      <c r="Y12" s="17" t="n">
        <f aca="false">E12*IF(OR(D12="Manager",F12&gt;=5),40%,10%)</f>
        <v>3159.6</v>
      </c>
      <c r="Z12" s="17" t="n">
        <f aca="false">IF(D12="Manager",20%,IF(AND(D12="Sr. Salesperson",F12&gt;=5),20%,10%))*E12</f>
        <v>789.9</v>
      </c>
      <c r="AA12" s="17" t="n">
        <f aca="false">IF(OR(D12="Manager",AND(D12="Sr. Salesperson",F12&gt;=5)),20%,10%)*E12</f>
        <v>789.9</v>
      </c>
      <c r="AB12" s="10" t="e">
        <f aca="false">_xlfn.xlookup(E12,$AJ$10:$AJ$14,$AK$10:$AK$14,0,-1,1)</f>
        <v>#NAME?</v>
      </c>
      <c r="AC12" s="10" t="n">
        <f aca="false">VLOOKUP(E12,$AJ$18:$AL$24,2,TRUE())</f>
        <v>0</v>
      </c>
      <c r="AE12" s="10" t="str">
        <f aca="false">VLOOKUP(E12,$AJ$18:$AL$24,3,TRUE())</f>
        <v>goodby</v>
      </c>
      <c r="AF12" s="10" t="n">
        <f aca="false">VLOOKUP(D12,$AN$10:$AO$12,2,TRUE())</f>
        <v>0.3</v>
      </c>
      <c r="AG12" s="10" t="str">
        <f aca="false">VLOOKUP(B12,$AN$17:$AP$19,3,TRUE())</f>
        <v>mon</v>
      </c>
      <c r="AJ12" s="17" t="n">
        <v>30000</v>
      </c>
      <c r="AK12" s="18" t="n">
        <v>0.1</v>
      </c>
      <c r="AL12" s="10" t="s">
        <v>144</v>
      </c>
      <c r="AN12" s="1" t="s">
        <v>53</v>
      </c>
      <c r="AO12" s="3" t="n">
        <v>0.1</v>
      </c>
    </row>
    <row r="13" customFormat="false" ht="14.25" hidden="false" customHeight="false" outlineLevel="0" collapsed="false">
      <c r="A13" s="0" t="s">
        <v>145</v>
      </c>
      <c r="B13" s="0" t="s">
        <v>146</v>
      </c>
      <c r="C13" s="5" t="n">
        <v>45040</v>
      </c>
      <c r="D13" s="10" t="s">
        <v>51</v>
      </c>
      <c r="E13" s="11" t="n">
        <v>40000</v>
      </c>
      <c r="F13" s="12" t="n">
        <f aca="true">ROUND((TODAY()-C13)/365.25,0)</f>
        <v>3</v>
      </c>
      <c r="G13" s="13" t="str">
        <f aca="false">A13&amp;" "&amp;B13</f>
        <v>Jack Martin</v>
      </c>
      <c r="H13" s="14" t="n">
        <f aca="false">5%*F13*E13</f>
        <v>6000</v>
      </c>
      <c r="I13" s="15" t="n">
        <f aca="false">MIN(5%*F13,25%)*E13</f>
        <v>6000</v>
      </c>
      <c r="J13" s="15" t="n">
        <f aca="false">IF(E13&lt;AVERAGE(E$9:E$17),10%,20%)*E13</f>
        <v>8000</v>
      </c>
      <c r="K13" s="15" t="n">
        <f aca="false">IF(E13&lt;AVERAGE(E$9:E$17),10%*E13,20%*E13)</f>
        <v>8000</v>
      </c>
      <c r="L13" s="15" t="n">
        <f aca="false">IF(E13&lt;AVERAGE(E$9:E$17),10%,20%)</f>
        <v>0.2</v>
      </c>
      <c r="M13" s="15" t="n">
        <f aca="false">E13*L13</f>
        <v>8000</v>
      </c>
      <c r="N13" s="15" t="n">
        <f aca="false">10%*E13+IF(E13=MAX($E$9:$E$17),5000,0)</f>
        <v>4000</v>
      </c>
      <c r="O13" s="16" t="n">
        <f aca="false">E13=MAX($E$9:$E$17)</f>
        <v>0</v>
      </c>
      <c r="P13" s="15" t="n">
        <f aca="false">IF(20%*E13&lt;2000,2000,20%*E13)</f>
        <v>8000</v>
      </c>
      <c r="Q13" s="15" t="n">
        <f aca="false">IF(20%*E13&gt;2000,20%*E13,2000)</f>
        <v>8000</v>
      </c>
      <c r="R13" s="17" t="n">
        <f aca="false">IF(E13=MIN(E$9:E$17),5%*E13,IF(E13=MAX(E$9:E$17),15%*E13,10%*E13))</f>
        <v>4000</v>
      </c>
      <c r="S13" s="17" t="n">
        <f aca="false">IF(E13=MIN(E$9:E$17),5%,IF(E13=MAX(E$9:E$17),15%,10%))*E13</f>
        <v>4000</v>
      </c>
      <c r="T13" s="11" t="n">
        <f aca="false">IF(E13&gt;=50000,30%*E13,IF(E13&gt;=30000,20%*E13,IF(E13&gt;=10000,10%*E13,500)))</f>
        <v>8000</v>
      </c>
      <c r="U13" s="11" t="n">
        <f aca="false">IF(E13&lt;10000,500,E13*IF(E13&lt;30000,10%,IF(E13&lt;50000,20%,30%)))</f>
        <v>8000</v>
      </c>
      <c r="V13" s="17" t="n">
        <f aca="false">E13*IF(D13="Manager",15%,IF(D13="Sr. Salesperson",10%,5%))</f>
        <v>6000</v>
      </c>
      <c r="W13" s="17" t="n">
        <f aca="false">E13*IF(D13="Manager",
               15%,
               IF(D13="Sr. Salesperson",10%,IF(D13="Salesperson",5%,0)))</f>
        <v>6000</v>
      </c>
      <c r="X13" s="15" t="n">
        <f aca="false">E13*IF(AND(D13="Manager",F13&gt;=5),40%,10%)</f>
        <v>4000</v>
      </c>
      <c r="Y13" s="17" t="n">
        <f aca="false">E13*IF(OR(D13="Manager",F13&gt;=5),40%,10%)</f>
        <v>16000</v>
      </c>
      <c r="Z13" s="17" t="n">
        <f aca="false">IF(D13="Manager",20%,IF(AND(D13="Sr. Salesperson",F13&gt;=5),20%,10%))*E13</f>
        <v>8000</v>
      </c>
      <c r="AA13" s="17" t="n">
        <f aca="false">IF(OR(D13="Manager",AND(D13="Sr. Salesperson",F13&gt;=5)),20%,10%)*E13</f>
        <v>8000</v>
      </c>
      <c r="AB13" s="10" t="e">
        <f aca="false">_xlfn.xlookup(E13,$AJ$10:$AJ$14,$AK$10:$AK$14,0,-1,1)</f>
        <v>#NAME?</v>
      </c>
      <c r="AC13" s="10" t="n">
        <f aca="false">VLOOKUP(E13,$AJ$18:$AL$24,2,TRUE())</f>
        <v>0.2</v>
      </c>
      <c r="AE13" s="10" t="str">
        <f aca="false">VLOOKUP(E13,$AJ$18:$AL$24,3,TRUE())</f>
        <v>great</v>
      </c>
      <c r="AF13" s="10" t="n">
        <f aca="false">VLOOKUP(D13,$AN$10:$AO$12,2,TRUE())</f>
        <v>0.3</v>
      </c>
      <c r="AG13" s="10" t="str">
        <f aca="false">VLOOKUP(B13,$AN$17:$AP$19,3,TRUE())</f>
        <v>tue</v>
      </c>
      <c r="AJ13" s="17" t="n">
        <v>20000</v>
      </c>
      <c r="AK13" s="18" t="n">
        <v>0.05</v>
      </c>
      <c r="AL13" s="10" t="s">
        <v>147</v>
      </c>
    </row>
    <row r="14" customFormat="false" ht="14.25" hidden="false" customHeight="false" outlineLevel="0" collapsed="false">
      <c r="A14" s="0" t="s">
        <v>148</v>
      </c>
      <c r="B14" s="0" t="s">
        <v>149</v>
      </c>
      <c r="C14" s="5" t="n">
        <v>45173</v>
      </c>
      <c r="D14" s="10" t="s">
        <v>140</v>
      </c>
      <c r="E14" s="11" t="n">
        <v>33000</v>
      </c>
      <c r="F14" s="12" t="n">
        <f aca="true">ROUND((TODAY()-C14)/365.25,0)</f>
        <v>2</v>
      </c>
      <c r="G14" s="13" t="str">
        <f aca="false">A14&amp;" "&amp;B14</f>
        <v>Kate Carey</v>
      </c>
      <c r="H14" s="14" t="n">
        <f aca="false">5%*F14*E14</f>
        <v>3300</v>
      </c>
      <c r="I14" s="15" t="n">
        <f aca="false">MIN(5%*F14,25%)*E14</f>
        <v>3300</v>
      </c>
      <c r="J14" s="15" t="n">
        <f aca="false">IF(E14&lt;AVERAGE(E$9:E$17),10%,20%)*E14</f>
        <v>6600</v>
      </c>
      <c r="K14" s="15" t="n">
        <f aca="false">IF(E14&lt;AVERAGE(E$9:E$17),10%*E14,20%*E14)</f>
        <v>6600</v>
      </c>
      <c r="L14" s="15" t="n">
        <f aca="false">IF(E14&lt;AVERAGE(E$9:E$17),10%,20%)</f>
        <v>0.2</v>
      </c>
      <c r="M14" s="15" t="n">
        <f aca="false">E14*L14</f>
        <v>6600</v>
      </c>
      <c r="N14" s="15" t="n">
        <f aca="false">10%*E14+IF(E14=MAX($E$9:$E$17),5000,0)</f>
        <v>3300</v>
      </c>
      <c r="O14" s="16" t="n">
        <f aca="false">E14=MAX($E$9:$E$17)</f>
        <v>0</v>
      </c>
      <c r="P14" s="15" t="n">
        <f aca="false">IF(20%*E14&lt;2000,2000,20%*E14)</f>
        <v>6600</v>
      </c>
      <c r="Q14" s="15" t="n">
        <f aca="false">IF(20%*E14&gt;2000,20%*E14,2000)</f>
        <v>6600</v>
      </c>
      <c r="R14" s="17" t="n">
        <f aca="false">IF(E14=MIN(E$9:E$17),5%*E14,IF(E14=MAX(E$9:E$17),15%*E14,10%*E14))</f>
        <v>3300</v>
      </c>
      <c r="S14" s="17" t="n">
        <f aca="false">IF(E14=MIN(E$9:E$17),5%,IF(E14=MAX(E$9:E$17),15%,10%))*E14</f>
        <v>3300</v>
      </c>
      <c r="T14" s="11" t="n">
        <f aca="false">IF(E14&gt;=50000,30%*E14,IF(E14&gt;=30000,20%*E14,IF(E14&gt;=10000,10%*E14,500)))</f>
        <v>6600</v>
      </c>
      <c r="U14" s="11" t="n">
        <f aca="false">IF(E14&lt;10000,500,E14*IF(E14&lt;30000,10%,IF(E14&lt;50000,20%,30%)))</f>
        <v>6600</v>
      </c>
      <c r="V14" s="17" t="n">
        <f aca="false">E14*IF(D14="Manager",15%,IF(D14="Sr. Salesperson",10%,5%))</f>
        <v>3300</v>
      </c>
      <c r="W14" s="17" t="n">
        <f aca="false">E14*IF(D14="Manager",
               15%,
               IF(D14="Sr. Salesperson",10%,IF(D14="Salesperson",5%,0)))</f>
        <v>3300</v>
      </c>
      <c r="X14" s="15" t="n">
        <f aca="false">E14*IF(AND(D14="Manager",F14&gt;=5),40%,10%)</f>
        <v>3300</v>
      </c>
      <c r="Y14" s="17" t="n">
        <f aca="false">E14*IF(OR(D14="Manager",F14&gt;=5),40%,10%)</f>
        <v>3300</v>
      </c>
      <c r="Z14" s="17" t="n">
        <f aca="false">IF(D14="Manager",20%,IF(AND(D14="Sr. Salesperson",F14&gt;=5),20%,10%))*E14</f>
        <v>3300</v>
      </c>
      <c r="AA14" s="17" t="n">
        <f aca="false">IF(OR(D14="Manager",AND(D14="Sr. Salesperson",F14&gt;=5)),20%,10%)*E14</f>
        <v>3300</v>
      </c>
      <c r="AB14" s="10" t="e">
        <f aca="false">_xlfn.xlookup(E14,$AJ$10:$AJ$14,$AK$10:$AK$14,0,-1,1)</f>
        <v>#NAME?</v>
      </c>
      <c r="AC14" s="10" t="n">
        <f aca="false">VLOOKUP(E14,$AJ$18:$AL$24,2,TRUE())</f>
        <v>0.1</v>
      </c>
      <c r="AE14" s="10" t="str">
        <f aca="false">VLOOKUP(E14,$AJ$18:$AL$24,3,TRUE())</f>
        <v>good</v>
      </c>
      <c r="AF14" s="10" t="n">
        <f aca="false">VLOOKUP(D14,$AN$10:$AO$12,2,TRUE())</f>
        <v>0.2</v>
      </c>
      <c r="AG14" s="10" t="str">
        <f aca="false">VLOOKUP(B14,$AN$17:$AP$19,3,TRUE())</f>
        <v>mon</v>
      </c>
      <c r="AJ14" s="17" t="n">
        <v>10000</v>
      </c>
      <c r="AK14" s="18" t="n">
        <v>0.03</v>
      </c>
      <c r="AL14" s="10" t="s">
        <v>150</v>
      </c>
    </row>
    <row r="15" customFormat="false" ht="14.25" hidden="false" customHeight="false" outlineLevel="0" collapsed="false">
      <c r="A15" s="0" t="s">
        <v>151</v>
      </c>
      <c r="B15" s="0" t="s">
        <v>152</v>
      </c>
      <c r="C15" s="5" t="n">
        <v>43501</v>
      </c>
      <c r="D15" s="10" t="s">
        <v>53</v>
      </c>
      <c r="E15" s="11" t="n">
        <v>22000</v>
      </c>
      <c r="F15" s="12" t="n">
        <f aca="true">ROUND((TODAY()-C15)/365.25,0)</f>
        <v>7</v>
      </c>
      <c r="G15" s="13" t="str">
        <f aca="false">A15&amp;" "&amp;B15</f>
        <v>Emy Parsons</v>
      </c>
      <c r="H15" s="14" t="n">
        <f aca="false">5%*F15*E15</f>
        <v>7700</v>
      </c>
      <c r="I15" s="15" t="n">
        <f aca="false">MIN(5%*F15,25%)*E15</f>
        <v>5500</v>
      </c>
      <c r="J15" s="15" t="n">
        <f aca="false">IF(E15&lt;AVERAGE(E$9:E$17),10%,20%)*E15</f>
        <v>2200</v>
      </c>
      <c r="K15" s="15" t="n">
        <f aca="false">IF(E15&lt;AVERAGE(E$9:E$17),10%*E15,20%*E15)</f>
        <v>2200</v>
      </c>
      <c r="L15" s="15" t="n">
        <f aca="false">IF(E15&lt;AVERAGE(E$9:E$17),10%,20%)</f>
        <v>0.1</v>
      </c>
      <c r="M15" s="15" t="n">
        <f aca="false">E15*L15</f>
        <v>2200</v>
      </c>
      <c r="N15" s="15" t="n">
        <f aca="false">10%*E15+IF(E15=MAX($E$9:$E$17),5000,0)</f>
        <v>2200</v>
      </c>
      <c r="O15" s="16" t="n">
        <f aca="false">E15=MAX($E$9:$E$17)</f>
        <v>0</v>
      </c>
      <c r="P15" s="15" t="n">
        <f aca="false">IF(20%*E15&lt;2000,2000,20%*E15)</f>
        <v>4400</v>
      </c>
      <c r="Q15" s="15" t="n">
        <f aca="false">IF(20%*E15&gt;2000,20%*E15,2000)</f>
        <v>4400</v>
      </c>
      <c r="R15" s="17" t="n">
        <f aca="false">IF(E15=MIN(E$9:E$17),5%*E15,IF(E15=MAX(E$9:E$17),15%*E15,10%*E15))</f>
        <v>2200</v>
      </c>
      <c r="S15" s="17" t="n">
        <f aca="false">IF(E15=MIN(E$9:E$17),5%,IF(E15=MAX(E$9:E$17),15%,10%))*E15</f>
        <v>2200</v>
      </c>
      <c r="T15" s="11" t="n">
        <f aca="false">IF(E15&gt;=50000,30%*E15,IF(E15&gt;=30000,20%*E15,IF(E15&gt;=10000,10%*E15,500)))</f>
        <v>2200</v>
      </c>
      <c r="U15" s="11" t="n">
        <f aca="false">IF(E15&lt;10000,500,E15*IF(E15&lt;30000,10%,IF(E15&lt;50000,20%,30%)))</f>
        <v>2200</v>
      </c>
      <c r="V15" s="17" t="n">
        <f aca="false">E15*IF(D15="Manager",15%,IF(D15="Sr. Salesperson",10%,5%))</f>
        <v>1100</v>
      </c>
      <c r="W15" s="17" t="n">
        <f aca="false">E15*IF(D15="Manager",
               15%,
               IF(D15="Sr. Salesperson",10%,IF(D15="Salesperson",5%,0)))</f>
        <v>1100</v>
      </c>
      <c r="X15" s="15" t="n">
        <f aca="false">E15*IF(AND(D15="Manager",F15&gt;=5),40%,10%)</f>
        <v>2200</v>
      </c>
      <c r="Y15" s="17" t="n">
        <f aca="false">E15*IF(OR(D15="Manager",F15&gt;=5),40%,10%)</f>
        <v>8800</v>
      </c>
      <c r="Z15" s="17" t="n">
        <f aca="false">IF(D15="Manager",20%,IF(AND(D15="Sr. Salesperson",F15&gt;=5),20%,10%))*E15</f>
        <v>2200</v>
      </c>
      <c r="AA15" s="17" t="n">
        <f aca="false">IF(OR(D15="Manager",AND(D15="Sr. Salesperson",F15&gt;=5)),20%,10%)*E15</f>
        <v>2200</v>
      </c>
      <c r="AB15" s="10" t="e">
        <f aca="false">_xlfn.xlookup(E15,$AJ$10:$AJ$14,$AK$10:$AK$14,0,-1,1)</f>
        <v>#NAME?</v>
      </c>
      <c r="AC15" s="10" t="n">
        <f aca="false">VLOOKUP(E15,$AJ$18:$AL$24,2,TRUE())</f>
        <v>0.05</v>
      </c>
      <c r="AE15" s="10" t="str">
        <f aca="false">VLOOKUP(E15,$AJ$18:$AL$24,3,TRUE())</f>
        <v>fair</v>
      </c>
      <c r="AF15" s="10" t="n">
        <f aca="false">VLOOKUP(D15,$AN$10:$AO$12,2,TRUE())</f>
        <v>0.3</v>
      </c>
      <c r="AG15" s="10" t="str">
        <f aca="false">VLOOKUP(B15,$AN$17:$AP$19,3,TRUE())</f>
        <v>wed</v>
      </c>
      <c r="AJ15" s="17" t="n">
        <v>0</v>
      </c>
      <c r="AK15" s="18" t="n">
        <v>0</v>
      </c>
      <c r="AL15" s="10" t="s">
        <v>153</v>
      </c>
      <c r="AN15" s="2" t="s">
        <v>154</v>
      </c>
    </row>
    <row r="16" customFormat="false" ht="14.25" hidden="false" customHeight="false" outlineLevel="0" collapsed="false">
      <c r="A16" s="0" t="s">
        <v>155</v>
      </c>
      <c r="B16" s="0" t="s">
        <v>156</v>
      </c>
      <c r="C16" s="5" t="n">
        <v>42330</v>
      </c>
      <c r="D16" s="10" t="s">
        <v>53</v>
      </c>
      <c r="E16" s="11" t="n">
        <v>55000</v>
      </c>
      <c r="F16" s="12" t="n">
        <f aca="true">ROUND((TODAY()-C16)/365.25,0)</f>
        <v>10</v>
      </c>
      <c r="G16" s="13" t="str">
        <f aca="false">A16&amp;" "&amp;B16</f>
        <v>Monica Oja</v>
      </c>
      <c r="H16" s="14" t="n">
        <f aca="false">5%*F16*E16</f>
        <v>27500</v>
      </c>
      <c r="I16" s="15" t="n">
        <f aca="false">MIN(5%*F16,25%)*E16</f>
        <v>13750</v>
      </c>
      <c r="J16" s="15" t="n">
        <f aca="false">IF(E16&lt;AVERAGE(E$9:E$17),10%,20%)*E16</f>
        <v>11000</v>
      </c>
      <c r="K16" s="15" t="n">
        <f aca="false">IF(E16&lt;AVERAGE(E$9:E$17),10%*E16,20%*E16)</f>
        <v>11000</v>
      </c>
      <c r="L16" s="15" t="n">
        <f aca="false">IF(E16&lt;AVERAGE(E$9:E$17),10%,20%)</f>
        <v>0.2</v>
      </c>
      <c r="M16" s="15" t="n">
        <f aca="false">E16*L16</f>
        <v>11000</v>
      </c>
      <c r="N16" s="15" t="n">
        <f aca="false">10%*E16+IF(E16=MAX($E$9:$E$17),5000,0)</f>
        <v>5500</v>
      </c>
      <c r="O16" s="16" t="n">
        <f aca="false">E16=MAX($E$9:$E$17)</f>
        <v>0</v>
      </c>
      <c r="P16" s="15" t="n">
        <f aca="false">IF(20%*E16&lt;2000,2000,20%*E16)</f>
        <v>11000</v>
      </c>
      <c r="Q16" s="15" t="n">
        <f aca="false">IF(20%*E16&gt;2000,20%*E16,2000)</f>
        <v>11000</v>
      </c>
      <c r="R16" s="17" t="n">
        <f aca="false">IF(E16=MIN(E$9:E$17),5%*E16,IF(E16=MAX(E$9:E$17),15%*E16,10%*E16))</f>
        <v>5500</v>
      </c>
      <c r="S16" s="17" t="n">
        <f aca="false">IF(E16=MIN(E$9:E$17),5%,IF(E16=MAX(E$9:E$17),15%,10%))*E16</f>
        <v>5500</v>
      </c>
      <c r="T16" s="11" t="n">
        <f aca="false">IF(E16&gt;=50000,30%*E16,IF(E16&gt;=30000,20%*E16,IF(E16&gt;=10000,10%*E16,500)))</f>
        <v>16500</v>
      </c>
      <c r="U16" s="11" t="n">
        <f aca="false">IF(E16&lt;10000,500,E16*IF(E16&lt;30000,10%,IF(E16&lt;50000,20%,30%)))</f>
        <v>16500</v>
      </c>
      <c r="V16" s="17" t="n">
        <f aca="false">E16*IF(D16="Manager",15%,IF(D16="Sr. Salesperson",10%,5%))</f>
        <v>2750</v>
      </c>
      <c r="W16" s="17" t="n">
        <f aca="false">E16*IF(D16="Manager",
               15%,
               IF(D16="Sr. Salesperson",10%,IF(D16="Salesperson",5%,0)))</f>
        <v>2750</v>
      </c>
      <c r="X16" s="15" t="n">
        <f aca="false">E16*IF(AND(D16="Manager",F16&gt;=5),40%,10%)</f>
        <v>5500</v>
      </c>
      <c r="Y16" s="17" t="n">
        <f aca="false">E16*IF(OR(D16="Manager",F16&gt;=5),40%,10%)</f>
        <v>22000</v>
      </c>
      <c r="Z16" s="17" t="n">
        <f aca="false">IF(D16="Manager",20%,IF(AND(D16="Sr. Salesperson",F16&gt;=5),20%,10%))*E16</f>
        <v>5500</v>
      </c>
      <c r="AA16" s="17" t="n">
        <f aca="false">IF(OR(D16="Manager",AND(D16="Sr. Salesperson",F16&gt;=5)),20%,10%)*E16</f>
        <v>5500</v>
      </c>
      <c r="AB16" s="10" t="e">
        <f aca="false">_xlfn.xlookup(E16,$AJ$10:$AJ$14,$AK$10:$AK$14,0,-1,1)</f>
        <v>#NAME?</v>
      </c>
      <c r="AC16" s="10" t="n">
        <f aca="false">VLOOKUP(E16,$AJ$18:$AL$24,2,TRUE())</f>
        <v>0.3</v>
      </c>
      <c r="AE16" s="10" t="str">
        <f aca="false">VLOOKUP(E16,$AJ$18:$AL$24,3,TRUE())</f>
        <v>excellent</v>
      </c>
      <c r="AF16" s="10" t="n">
        <f aca="false">VLOOKUP(D16,$AN$10:$AO$12,2,TRUE())</f>
        <v>0.3</v>
      </c>
      <c r="AG16" s="10" t="str">
        <f aca="false">VLOOKUP(B16,$AN$17:$AP$19,3,TRUE())</f>
        <v>tue</v>
      </c>
      <c r="AN16" s="1" t="s">
        <v>157</v>
      </c>
      <c r="AO16" s="1" t="s">
        <v>58</v>
      </c>
      <c r="AP16" s="1" t="s">
        <v>59</v>
      </c>
    </row>
    <row r="17" customFormat="false" ht="14.25" hidden="false" customHeight="false" outlineLevel="0" collapsed="false">
      <c r="A17" s="0" t="s">
        <v>158</v>
      </c>
      <c r="B17" s="0" t="s">
        <v>159</v>
      </c>
      <c r="C17" s="5" t="n">
        <v>43449</v>
      </c>
      <c r="D17" s="10" t="s">
        <v>140</v>
      </c>
      <c r="E17" s="11" t="n">
        <v>62000</v>
      </c>
      <c r="F17" s="12" t="n">
        <f aca="true">ROUND((TODAY()-C17)/365.25,0)</f>
        <v>7</v>
      </c>
      <c r="G17" s="13" t="str">
        <f aca="false">A17&amp;" "&amp;B17</f>
        <v>Jim Kuruzovich</v>
      </c>
      <c r="H17" s="14" t="n">
        <f aca="false">5%*F17*E17</f>
        <v>21700</v>
      </c>
      <c r="I17" s="15" t="n">
        <f aca="false">MIN(5%*F17,25%)*E17</f>
        <v>15500</v>
      </c>
      <c r="J17" s="15" t="n">
        <f aca="false">IF(E17&lt;AVERAGE(E$9:E$17),10%,20%)*E17</f>
        <v>12400</v>
      </c>
      <c r="K17" s="15" t="n">
        <f aca="false">IF(E17&lt;AVERAGE(E$9:E$17),10%*E17,20%*E17)</f>
        <v>12400</v>
      </c>
      <c r="L17" s="15" t="n">
        <f aca="false">IF(E17&lt;AVERAGE(E$9:E$17),10%,20%)</f>
        <v>0.2</v>
      </c>
      <c r="M17" s="15" t="n">
        <f aca="false">E17*L17</f>
        <v>12400</v>
      </c>
      <c r="N17" s="15" t="n">
        <f aca="false">10%*E17+IF(E17=MAX($E$9:$E$17),5000,0)</f>
        <v>11200</v>
      </c>
      <c r="O17" s="16" t="n">
        <f aca="false">E17=MAX($E$9:$E$17)</f>
        <v>1</v>
      </c>
      <c r="P17" s="15" t="n">
        <f aca="false">IF(20%*E17&lt;2000,2000,20%*E17)</f>
        <v>12400</v>
      </c>
      <c r="Q17" s="15" t="n">
        <f aca="false">IF(20%*E17&gt;2000,20%*E17,2000)</f>
        <v>12400</v>
      </c>
      <c r="R17" s="17" t="n">
        <f aca="false">IF(E17=MIN(E$9:E$17),5%*E17,IF(E17=MAX(E$9:E$17),15%*E17,10%*E17))</f>
        <v>9300</v>
      </c>
      <c r="S17" s="17" t="n">
        <f aca="false">IF(E17=MIN(E$9:E$17),5%,IF(E17=MAX(E$9:E$17),15%,10%))*E17</f>
        <v>9300</v>
      </c>
      <c r="T17" s="11" t="n">
        <f aca="false">IF(E17&gt;=50000,30%*E17,IF(E17&gt;=30000,20%*E17,IF(E17&gt;=10000,10%*E17,500)))</f>
        <v>18600</v>
      </c>
      <c r="U17" s="11" t="n">
        <f aca="false">IF(E17&lt;10000,500,E17*IF(E17&lt;30000,10%,IF(E17&lt;50000,20%,30%)))</f>
        <v>18600</v>
      </c>
      <c r="V17" s="17" t="n">
        <f aca="false">E17*IF(D17="Manager",15%,IF(D17="Sr. Salesperson",10%,5%))</f>
        <v>6200</v>
      </c>
      <c r="W17" s="17" t="n">
        <f aca="false">E17*IF(D17="Manager",
               15%,
               IF(D17="Sr. Salesperson",10%,IF(D17="Salesperson",5%,0)))</f>
        <v>6200</v>
      </c>
      <c r="X17" s="15" t="n">
        <f aca="false">E17*IF(AND(D17="Manager",F17&gt;=5),40%,10%)</f>
        <v>6200</v>
      </c>
      <c r="Y17" s="17" t="n">
        <f aca="false">E17*IF(OR(D17="Manager",F17&gt;=5),40%,10%)</f>
        <v>24800</v>
      </c>
      <c r="Z17" s="17" t="n">
        <f aca="false">IF(D17="Manager",20%,IF(AND(D17="Sr. Salesperson",F17&gt;=5),20%,10%))*E17</f>
        <v>12400</v>
      </c>
      <c r="AA17" s="17" t="n">
        <f aca="false">IF(OR(D17="Manager",AND(D17="Sr. Salesperson",F17&gt;=5)),20%,10%)*E17</f>
        <v>12400</v>
      </c>
      <c r="AB17" s="10" t="e">
        <f aca="false">_xlfn.xlookup(E17,$AJ$10:$AJ$14,$AK$10:$AK$14,0,-1,1)</f>
        <v>#NAME?</v>
      </c>
      <c r="AC17" s="10" t="n">
        <f aca="false">VLOOKUP(E17,$AJ$18:$AL$24,2,TRUE())</f>
        <v>0.3</v>
      </c>
      <c r="AE17" s="10" t="str">
        <f aca="false">VLOOKUP(E17,$AJ$18:$AL$24,3,TRUE())</f>
        <v>excellent</v>
      </c>
      <c r="AF17" s="10" t="n">
        <f aca="false">VLOOKUP(D17,$AN$10:$AO$12,2,TRUE())</f>
        <v>0.2</v>
      </c>
      <c r="AG17" s="10" t="str">
        <f aca="false">VLOOKUP(B17,$AN$17:$AP$19,3,TRUE())</f>
        <v>tue</v>
      </c>
      <c r="AJ17" s="19" t="s">
        <v>160</v>
      </c>
      <c r="AN17" s="1" t="s">
        <v>161</v>
      </c>
      <c r="AO17" s="1" t="s">
        <v>60</v>
      </c>
      <c r="AP17" s="1" t="s">
        <v>61</v>
      </c>
    </row>
    <row r="18" customFormat="false" ht="14.25" hidden="false" customHeight="false" outlineLevel="0" collapsed="false">
      <c r="AJ18" s="17" t="n">
        <v>0</v>
      </c>
      <c r="AK18" s="18" t="n">
        <v>0</v>
      </c>
      <c r="AL18" s="10" t="s">
        <v>162</v>
      </c>
      <c r="AN18" s="1" t="s">
        <v>163</v>
      </c>
      <c r="AO18" s="1" t="s">
        <v>62</v>
      </c>
      <c r="AP18" s="1" t="s">
        <v>63</v>
      </c>
    </row>
    <row r="19" customFormat="false" ht="14.25" hidden="false" customHeight="false" outlineLevel="0" collapsed="false">
      <c r="AJ19" s="17" t="n">
        <v>10000</v>
      </c>
      <c r="AK19" s="18" t="n">
        <v>0.03</v>
      </c>
      <c r="AL19" s="10" t="s">
        <v>150</v>
      </c>
      <c r="AN19" s="1" t="s">
        <v>164</v>
      </c>
      <c r="AO19" s="1" t="s">
        <v>64</v>
      </c>
      <c r="AP19" s="1" t="s">
        <v>65</v>
      </c>
    </row>
    <row r="20" customFormat="false" ht="14.25" hidden="false" customHeight="false" outlineLevel="0" collapsed="false">
      <c r="AJ20" s="17" t="n">
        <v>20000</v>
      </c>
      <c r="AK20" s="18" t="n">
        <v>0.05</v>
      </c>
      <c r="AL20" s="10" t="s">
        <v>147</v>
      </c>
    </row>
    <row r="21" customFormat="false" ht="14.25" hidden="false" customHeight="false" outlineLevel="0" collapsed="false">
      <c r="A21" s="19" t="s">
        <v>165</v>
      </c>
      <c r="AJ21" s="17" t="n">
        <v>30000</v>
      </c>
      <c r="AK21" s="18" t="n">
        <v>0.1</v>
      </c>
      <c r="AL21" s="10" t="s">
        <v>144</v>
      </c>
    </row>
    <row r="22" customFormat="false" ht="14.25" hidden="false" customHeight="false" outlineLevel="0" collapsed="false">
      <c r="A22" s="19"/>
      <c r="AJ22" s="17"/>
      <c r="AK22" s="18"/>
    </row>
    <row r="23" customFormat="false" ht="14.25" hidden="false" customHeight="false" outlineLevel="0" collapsed="false">
      <c r="A23" s="19"/>
      <c r="AJ23" s="17" t="n">
        <v>40000</v>
      </c>
      <c r="AK23" s="18" t="n">
        <v>0.2</v>
      </c>
      <c r="AL23" s="10" t="s">
        <v>139</v>
      </c>
    </row>
    <row r="24" customFormat="false" ht="14.25" hidden="false" customHeight="false" outlineLevel="0" collapsed="false">
      <c r="A24" s="19" t="s">
        <v>166</v>
      </c>
      <c r="AJ24" s="17" t="n">
        <v>50000</v>
      </c>
      <c r="AK24" s="18" t="n">
        <v>0.3</v>
      </c>
      <c r="AL24" s="10" t="s">
        <v>136</v>
      </c>
    </row>
    <row r="25" customFormat="false" ht="14.25" hidden="false" customHeight="false" outlineLevel="0" collapsed="false">
      <c r="A25" s="19"/>
      <c r="AJ25" s="17"/>
      <c r="AK25" s="18"/>
    </row>
    <row r="26" customFormat="false" ht="14.25" hidden="false" customHeight="false" outlineLevel="0" collapsed="false">
      <c r="A26" s="19"/>
      <c r="AJ26" s="17"/>
      <c r="AK26" s="18"/>
    </row>
    <row r="27" customFormat="false" ht="14.25" hidden="false" customHeight="false" outlineLevel="0" collapsed="false">
      <c r="A27" s="19" t="s">
        <v>167</v>
      </c>
      <c r="B27" s="1" t="s">
        <v>68</v>
      </c>
      <c r="C27" s="1"/>
    </row>
    <row r="28" customFormat="false" ht="14.25" hidden="false" customHeight="false" outlineLevel="0" collapsed="false">
      <c r="A28" s="19"/>
      <c r="C28" s="1"/>
      <c r="D28" s="1"/>
    </row>
    <row r="29" customFormat="false" ht="14.25" hidden="false" customHeight="false" outlineLevel="0" collapsed="false">
      <c r="A29" s="19"/>
      <c r="C29" s="1"/>
    </row>
    <row r="30" customFormat="false" ht="14.25" hidden="false" customHeight="false" outlineLevel="0" collapsed="false">
      <c r="A30" s="19" t="s">
        <v>168</v>
      </c>
      <c r="B30" s="1" t="s">
        <v>69</v>
      </c>
      <c r="C30" s="1"/>
      <c r="D30" s="1"/>
    </row>
    <row r="31" customFormat="false" ht="14.25" hidden="false" customHeight="false" outlineLevel="0" collapsed="false">
      <c r="A31" s="19"/>
    </row>
    <row r="32" customFormat="false" ht="14.25" hidden="false" customHeight="false" outlineLevel="0" collapsed="false">
      <c r="A32" s="19"/>
    </row>
    <row r="33" customFormat="false" ht="14.25" hidden="false" customHeight="false" outlineLevel="0" collapsed="false">
      <c r="A33" s="19" t="s">
        <v>169</v>
      </c>
      <c r="B33" s="1" t="s">
        <v>70</v>
      </c>
      <c r="C33" s="1"/>
    </row>
    <row r="34" customFormat="false" ht="14.25" hidden="false" customHeight="false" outlineLevel="0" collapsed="false">
      <c r="A34" s="19"/>
      <c r="C34" s="1"/>
      <c r="D34" s="1"/>
    </row>
    <row r="35" customFormat="false" ht="14.25" hidden="false" customHeight="false" outlineLevel="0" collapsed="false">
      <c r="A35" s="19"/>
      <c r="C35" s="1"/>
    </row>
    <row r="36" customFormat="false" ht="14.25" hidden="false" customHeight="false" outlineLevel="0" collapsed="false">
      <c r="A36" s="19" t="s">
        <v>170</v>
      </c>
      <c r="B36" s="1" t="s">
        <v>71</v>
      </c>
      <c r="C36" s="1"/>
      <c r="D36" s="1"/>
    </row>
    <row r="37" customFormat="false" ht="14.25" hidden="false" customHeight="false" outlineLevel="0" collapsed="false">
      <c r="A37" s="19"/>
      <c r="C37" s="1"/>
    </row>
    <row r="38" customFormat="false" ht="14.25" hidden="false" customHeight="false" outlineLevel="0" collapsed="false">
      <c r="A38" s="19"/>
      <c r="C38" s="1"/>
      <c r="D38" s="1"/>
    </row>
    <row r="39" customFormat="false" ht="14.25" hidden="false" customHeight="false" outlineLevel="0" collapsed="false">
      <c r="A39" s="19" t="s">
        <v>171</v>
      </c>
      <c r="B39" s="1" t="s">
        <v>72</v>
      </c>
      <c r="C39" s="1"/>
    </row>
    <row r="40" customFormat="false" ht="14.25" hidden="false" customHeight="false" outlineLevel="0" collapsed="false">
      <c r="A40" s="19"/>
      <c r="C40" s="1"/>
      <c r="D40" s="1"/>
    </row>
    <row r="41" customFormat="false" ht="14.25" hidden="false" customHeight="false" outlineLevel="0" collapsed="false">
      <c r="A41" s="19"/>
      <c r="C41" s="1"/>
    </row>
    <row r="42" customFormat="false" ht="14.25" hidden="false" customHeight="false" outlineLevel="0" collapsed="false">
      <c r="A42" s="19" t="s">
        <v>172</v>
      </c>
      <c r="B42" s="1" t="s">
        <v>73</v>
      </c>
    </row>
    <row r="43" customFormat="false" ht="14.25" hidden="false" customHeight="false" outlineLevel="0" collapsed="false">
      <c r="A43" s="19"/>
    </row>
    <row r="44" customFormat="false" ht="14.25" hidden="false" customHeight="false" outlineLevel="0" collapsed="false">
      <c r="A44" s="19" t="s">
        <v>173</v>
      </c>
      <c r="B44" s="1" t="s">
        <v>74</v>
      </c>
    </row>
    <row r="46" customFormat="false" ht="14.25" hidden="false" customHeight="false" outlineLevel="0" collapsed="false">
      <c r="A46" s="20" t="s">
        <v>174</v>
      </c>
      <c r="B46" s="19" t="s">
        <v>175</v>
      </c>
    </row>
    <row r="47" customFormat="false" ht="14.25" hidden="false" customHeight="false" outlineLevel="0" collapsed="false">
      <c r="A47" s="20" t="s">
        <v>176</v>
      </c>
      <c r="B47" s="19" t="s">
        <v>177</v>
      </c>
    </row>
    <row r="48" customFormat="false" ht="14.25" hidden="false" customHeight="false" outlineLevel="0" collapsed="false">
      <c r="A48" s="19"/>
    </row>
    <row r="49" customFormat="false" ht="41.75" hidden="false" customHeight="false" outlineLevel="0" collapsed="false">
      <c r="A49" s="2" t="s">
        <v>75</v>
      </c>
      <c r="B49" s="2" t="s">
        <v>76</v>
      </c>
      <c r="C49" s="4" t="s">
        <v>77</v>
      </c>
      <c r="D49" s="2" t="s">
        <v>78</v>
      </c>
      <c r="E49" s="1"/>
      <c r="F49" s="1"/>
      <c r="G49" s="1"/>
      <c r="H49" s="1"/>
      <c r="I49" s="1"/>
      <c r="J49" s="1"/>
    </row>
    <row r="50" customFormat="false" ht="14.25" hidden="false" customHeight="false" outlineLevel="0" collapsed="false">
      <c r="A50" s="1" t="s">
        <v>79</v>
      </c>
      <c r="B50" s="1" t="n">
        <v>30000</v>
      </c>
      <c r="C50" s="21"/>
      <c r="D50" s="1" t="s">
        <v>80</v>
      </c>
      <c r="E50" s="1"/>
      <c r="F50" s="1"/>
      <c r="G50" s="1"/>
      <c r="H50" s="1"/>
      <c r="I50" s="1"/>
      <c r="J50" s="1"/>
    </row>
    <row r="51" customFormat="false" ht="14.25" hidden="false" customHeight="false" outlineLevel="0" collapsed="false">
      <c r="A51" s="1" t="s">
        <v>81</v>
      </c>
      <c r="B51" s="1" t="n">
        <v>20000</v>
      </c>
      <c r="C51" s="21"/>
      <c r="D51" s="1" t="s">
        <v>82</v>
      </c>
      <c r="E51" s="1"/>
      <c r="F51" s="1"/>
      <c r="G51" s="1"/>
      <c r="H51" s="1"/>
      <c r="I51" s="1"/>
      <c r="J51" s="1"/>
    </row>
    <row r="52" customFormat="false" ht="14.25" hidden="false" customHeight="false" outlineLevel="0" collapsed="false">
      <c r="A52" s="1" t="s">
        <v>83</v>
      </c>
      <c r="B52" s="1" t="n">
        <v>10000</v>
      </c>
      <c r="C52" s="21"/>
      <c r="D52" s="1" t="s">
        <v>84</v>
      </c>
      <c r="E52" s="1"/>
      <c r="F52" s="1"/>
      <c r="G52" s="1"/>
      <c r="H52" s="1"/>
      <c r="I52" s="1"/>
      <c r="J52" s="1"/>
    </row>
    <row r="53" customFormat="false" ht="14.25" hidden="false" customHeight="false" outlineLevel="0" collapsed="false">
      <c r="A53" s="1" t="s">
        <v>85</v>
      </c>
      <c r="B53" s="1" t="n">
        <v>0</v>
      </c>
      <c r="C53" s="21"/>
      <c r="D53" s="1" t="s">
        <v>86</v>
      </c>
      <c r="E53" s="1"/>
      <c r="F53" s="1"/>
      <c r="G53" s="1"/>
      <c r="H53" s="1"/>
      <c r="I53" s="1"/>
      <c r="J53" s="1"/>
    </row>
  </sheetData>
  <printOptions headings="true" gridLines="true" gridLinesSet="true" horizontalCentered="false" verticalCentered="false"/>
  <pageMargins left="0" right="0" top="0" bottom="0"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0"/>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1" activeCellId="0" sqref="A11"/>
    </sheetView>
  </sheetViews>
  <sheetFormatPr defaultColWidth="11.53515625" defaultRowHeight="14.25" zeroHeight="false" outlineLevelRow="0" outlineLevelCol="0"/>
  <cols>
    <col collapsed="false" customWidth="true" hidden="false" outlineLevel="0" max="1" min="1" style="0" width="45.81"/>
    <col collapsed="false" customWidth="true" hidden="false" outlineLevel="0" max="2" min="2" style="0" width="61.49"/>
    <col collapsed="false" customWidth="true" hidden="false" outlineLevel="0" max="3" min="3" style="0" width="46.83"/>
    <col collapsed="false" customWidth="true" hidden="false" outlineLevel="0" max="4" min="4" style="0" width="15.3"/>
    <col collapsed="false" customWidth="true" hidden="false" outlineLevel="0" max="5" min="5" style="0" width="9.73"/>
    <col collapsed="false" customWidth="true" hidden="false" outlineLevel="0" max="8" min="7" style="0" width="9.17"/>
    <col collapsed="false" customWidth="true" hidden="false" outlineLevel="0" max="9" min="9" style="0" width="14.93"/>
    <col collapsed="false" customWidth="true" hidden="false" outlineLevel="0" max="10" min="10" style="0" width="11.12"/>
    <col collapsed="false" customWidth="true" hidden="false" outlineLevel="0" max="13" min="12" style="0" width="9.17"/>
    <col collapsed="false" customWidth="true" hidden="false" outlineLevel="0" max="14" min="14" style="0" width="15.66"/>
    <col collapsed="false" customWidth="true" hidden="false" outlineLevel="0" max="15" min="15" style="0" width="10.1"/>
    <col collapsed="false" customWidth="true" hidden="false" outlineLevel="0" max="18" min="17" style="0" width="9.17"/>
    <col collapsed="false" customWidth="true" hidden="false" outlineLevel="0" max="19" min="19" style="0" width="15.3"/>
    <col collapsed="false" customWidth="true" hidden="false" outlineLevel="0" max="20" min="20" style="0" width="11.03"/>
  </cols>
  <sheetData>
    <row r="1" customFormat="false" ht="14.25" hidden="false" customHeight="false" outlineLevel="0" collapsed="false">
      <c r="A1" s="0" t="s">
        <v>178</v>
      </c>
    </row>
    <row r="2" customFormat="false" ht="14.25" hidden="false" customHeight="false" outlineLevel="0" collapsed="false">
      <c r="A2" s="0" t="s">
        <v>179</v>
      </c>
    </row>
    <row r="3" customFormat="false" ht="14.25" hidden="false" customHeight="false" outlineLevel="0" collapsed="false">
      <c r="A3" s="0" t="s">
        <v>180</v>
      </c>
    </row>
    <row r="4" customFormat="false" ht="14.25" hidden="false" customHeight="false" outlineLevel="0" collapsed="false">
      <c r="B4" s="0" t="s">
        <v>181</v>
      </c>
      <c r="C4" s="0" t="s">
        <v>182</v>
      </c>
    </row>
    <row r="5" customFormat="false" ht="14.25" hidden="false" customHeight="false" outlineLevel="0" collapsed="false">
      <c r="B5" s="0" t="str">
        <f aca="false">_xlfn.FORMULATEXT(C5)</f>
        <v>=3&gt;4</v>
      </c>
      <c r="C5" s="16" t="b">
        <f aca="false">3&gt;4</f>
        <v>0</v>
      </c>
    </row>
    <row r="6" customFormat="false" ht="14.25" hidden="false" customHeight="false" outlineLevel="0" collapsed="false">
      <c r="B6" s="0" t="str">
        <f aca="false">_xlfn.FORMULATEXT(C6)</f>
        <v>=3&lt;4</v>
      </c>
      <c r="C6" s="16" t="b">
        <f aca="false">3&lt;4</f>
        <v>1</v>
      </c>
    </row>
    <row r="8" customFormat="false" ht="14.25" hidden="false" customHeight="false" outlineLevel="0" collapsed="false">
      <c r="B8" s="0" t="s">
        <v>183</v>
      </c>
      <c r="C8" s="0" t="s">
        <v>184</v>
      </c>
      <c r="D8" s="0" t="s">
        <v>185</v>
      </c>
      <c r="E8" s="0" t="s">
        <v>186</v>
      </c>
      <c r="G8" s="0" t="s">
        <v>183</v>
      </c>
      <c r="H8" s="0" t="s">
        <v>184</v>
      </c>
      <c r="I8" s="0" t="s">
        <v>185</v>
      </c>
      <c r="J8" s="0" t="s">
        <v>186</v>
      </c>
      <c r="L8" s="0" t="s">
        <v>183</v>
      </c>
      <c r="M8" s="0" t="s">
        <v>184</v>
      </c>
      <c r="N8" s="0" t="s">
        <v>185</v>
      </c>
      <c r="O8" s="0" t="s">
        <v>186</v>
      </c>
      <c r="Q8" s="0" t="s">
        <v>183</v>
      </c>
      <c r="R8" s="0" t="s">
        <v>184</v>
      </c>
      <c r="S8" s="0" t="s">
        <v>185</v>
      </c>
      <c r="T8" s="0" t="s">
        <v>186</v>
      </c>
    </row>
    <row r="9" customFormat="false" ht="14.25" hidden="false" customHeight="false" outlineLevel="0" collapsed="false">
      <c r="B9" s="0" t="n">
        <v>0</v>
      </c>
      <c r="C9" s="0" t="n">
        <v>1</v>
      </c>
      <c r="D9" s="0" t="str">
        <f aca="false">_xlfn.FORMULATEXT(E9)</f>
        <v>=B9&gt;C9</v>
      </c>
      <c r="E9" s="16" t="b">
        <f aca="false">B9&gt;C9</f>
        <v>0</v>
      </c>
      <c r="G9" s="0" t="n">
        <v>0</v>
      </c>
      <c r="H9" s="0" t="n">
        <v>1</v>
      </c>
      <c r="I9" s="0" t="str">
        <f aca="false">_xlfn.FORMULATEXT(J9)</f>
        <v>=G9&gt;=H9</v>
      </c>
      <c r="J9" s="16" t="b">
        <f aca="false">G9&gt;=H9</f>
        <v>0</v>
      </c>
      <c r="L9" s="0" t="n">
        <v>0</v>
      </c>
      <c r="M9" s="0" t="n">
        <v>1</v>
      </c>
      <c r="N9" s="0" t="str">
        <f aca="false">_xlfn.FORMULATEXT(O9)</f>
        <v>=L9=M9</v>
      </c>
      <c r="O9" s="16" t="b">
        <f aca="false">L9=M9</f>
        <v>0</v>
      </c>
      <c r="Q9" s="0" t="n">
        <v>0</v>
      </c>
      <c r="R9" s="0" t="n">
        <v>1</v>
      </c>
      <c r="S9" s="0" t="str">
        <f aca="false">_xlfn.FORMULATEXT(T9)</f>
        <v>=Q9&lt;&gt;R9</v>
      </c>
      <c r="T9" s="16" t="b">
        <f aca="false">Q9&lt;&gt;R9</f>
        <v>1</v>
      </c>
    </row>
    <row r="10" customFormat="false" ht="14.25" hidden="false" customHeight="false" outlineLevel="0" collapsed="false">
      <c r="B10" s="22" t="n">
        <v>2</v>
      </c>
      <c r="C10" s="22" t="n">
        <v>2</v>
      </c>
      <c r="D10" s="22" t="str">
        <f aca="false">_xlfn.FORMULATEXT(E10)</f>
        <v>=B10&gt;C10</v>
      </c>
      <c r="E10" s="23" t="b">
        <f aca="false">B10&gt;C10</f>
        <v>0</v>
      </c>
      <c r="G10" s="22" t="n">
        <v>2</v>
      </c>
      <c r="H10" s="22" t="n">
        <v>2</v>
      </c>
      <c r="I10" s="22" t="str">
        <f aca="false">_xlfn.FORMULATEXT(J10)</f>
        <v>=G10&gt;=H10</v>
      </c>
      <c r="J10" s="23" t="b">
        <f aca="false">G10&gt;=H10</f>
        <v>1</v>
      </c>
      <c r="L10" s="22" t="n">
        <v>2</v>
      </c>
      <c r="M10" s="22" t="n">
        <v>2</v>
      </c>
      <c r="N10" s="22" t="str">
        <f aca="false">_xlfn.FORMULATEXT(O10)</f>
        <v>=L10=M10</v>
      </c>
      <c r="O10" s="16" t="b">
        <f aca="false">L10=M10</f>
        <v>1</v>
      </c>
      <c r="Q10" s="22" t="n">
        <v>2</v>
      </c>
      <c r="R10" s="22" t="n">
        <v>2</v>
      </c>
      <c r="S10" s="22" t="str">
        <f aca="false">_xlfn.FORMULATEXT(T10)</f>
        <v>=Q10&lt;&gt;R10</v>
      </c>
      <c r="T10" s="16" t="b">
        <f aca="false">Q10&lt;&gt;R10</f>
        <v>0</v>
      </c>
    </row>
    <row r="11" customFormat="false" ht="14.25" hidden="false" customHeight="false" outlineLevel="0" collapsed="false">
      <c r="B11" s="0" t="n">
        <v>2</v>
      </c>
      <c r="C11" s="0" t="n">
        <v>1</v>
      </c>
      <c r="D11" s="0" t="str">
        <f aca="false">_xlfn.FORMULATEXT(E11)</f>
        <v>=B11&gt;C11</v>
      </c>
      <c r="E11" s="16" t="b">
        <f aca="false">B11&gt;C11</f>
        <v>1</v>
      </c>
      <c r="G11" s="0" t="n">
        <v>2</v>
      </c>
      <c r="H11" s="0" t="n">
        <v>1</v>
      </c>
      <c r="I11" s="0" t="str">
        <f aca="false">_xlfn.FORMULATEXT(J11)</f>
        <v>=G11&gt;=H11</v>
      </c>
      <c r="J11" s="16" t="b">
        <f aca="false">G11&gt;=H11</f>
        <v>1</v>
      </c>
      <c r="L11" s="0" t="n">
        <v>2</v>
      </c>
      <c r="M11" s="0" t="n">
        <v>1</v>
      </c>
      <c r="N11" s="0" t="str">
        <f aca="false">_xlfn.FORMULATEXT(O11)</f>
        <v>=L11=M11</v>
      </c>
      <c r="O11" s="16" t="b">
        <f aca="false">L11=M11</f>
        <v>0</v>
      </c>
      <c r="Q11" s="0" t="n">
        <v>2</v>
      </c>
      <c r="R11" s="0" t="n">
        <v>1</v>
      </c>
      <c r="S11" s="0" t="str">
        <f aca="false">_xlfn.FORMULATEXT(T11)</f>
        <v>=Q11&lt;&gt;R11</v>
      </c>
      <c r="T11" s="16" t="b">
        <f aca="false">Q11&lt;&gt;R11</f>
        <v>1</v>
      </c>
    </row>
    <row r="12" customFormat="false" ht="14.25" hidden="false" customHeight="false" outlineLevel="0" collapsed="false">
      <c r="B12" s="0" t="n">
        <v>0</v>
      </c>
      <c r="C12" s="0" t="n">
        <v>0</v>
      </c>
      <c r="D12" s="0" t="str">
        <f aca="false">_xlfn.FORMULATEXT(E12)</f>
        <v>=B12&gt;C12</v>
      </c>
      <c r="E12" s="16" t="b">
        <f aca="false">B12&gt;C12</f>
        <v>0</v>
      </c>
      <c r="G12" s="0" t="n">
        <v>0</v>
      </c>
      <c r="H12" s="0" t="n">
        <v>0</v>
      </c>
      <c r="I12" s="0" t="str">
        <f aca="false">_xlfn.FORMULATEXT(J12)</f>
        <v>=G12&gt;=H12</v>
      </c>
      <c r="J12" s="16" t="b">
        <f aca="false">G12&gt;=H12</f>
        <v>1</v>
      </c>
      <c r="L12" s="0" t="n">
        <v>0</v>
      </c>
      <c r="M12" s="0" t="n">
        <v>0</v>
      </c>
      <c r="N12" s="0" t="str">
        <f aca="false">_xlfn.FORMULATEXT(O12)</f>
        <v>=L12=M12</v>
      </c>
      <c r="O12" s="16" t="b">
        <f aca="false">L12=M12</f>
        <v>1</v>
      </c>
      <c r="Q12" s="0" t="n">
        <v>0</v>
      </c>
      <c r="R12" s="0" t="n">
        <v>0</v>
      </c>
      <c r="S12" s="0" t="str">
        <f aca="false">_xlfn.FORMULATEXT(T12)</f>
        <v>=Q12&lt;&gt;R12</v>
      </c>
      <c r="T12" s="16" t="b">
        <f aca="false">Q12&lt;&gt;R12</f>
        <v>0</v>
      </c>
    </row>
    <row r="13" customFormat="false" ht="14.25" hidden="false" customHeight="false" outlineLevel="0" collapsed="false">
      <c r="B13" s="0" t="n">
        <v>1</v>
      </c>
      <c r="C13" s="0" t="n">
        <v>2</v>
      </c>
      <c r="D13" s="0" t="str">
        <f aca="false">_xlfn.FORMULATEXT(E13)</f>
        <v>=B13&gt;C13</v>
      </c>
      <c r="E13" s="16" t="b">
        <f aca="false">B13&gt;C13</f>
        <v>0</v>
      </c>
      <c r="G13" s="0" t="n">
        <v>1</v>
      </c>
      <c r="H13" s="0" t="n">
        <v>2</v>
      </c>
      <c r="I13" s="0" t="str">
        <f aca="false">_xlfn.FORMULATEXT(J13)</f>
        <v>=G13&gt;=H13</v>
      </c>
      <c r="J13" s="16" t="b">
        <f aca="false">G13&gt;=H13</f>
        <v>0</v>
      </c>
      <c r="L13" s="0" t="n">
        <v>1</v>
      </c>
      <c r="M13" s="0" t="n">
        <v>2</v>
      </c>
      <c r="N13" s="0" t="str">
        <f aca="false">_xlfn.FORMULATEXT(O13)</f>
        <v>=L13=M13</v>
      </c>
      <c r="O13" s="16" t="b">
        <f aca="false">L13=M13</f>
        <v>0</v>
      </c>
      <c r="Q13" s="0" t="n">
        <v>1</v>
      </c>
      <c r="R13" s="0" t="n">
        <v>2</v>
      </c>
      <c r="S13" s="0" t="str">
        <f aca="false">_xlfn.FORMULATEXT(T13)</f>
        <v>=Q13&lt;&gt;R13</v>
      </c>
      <c r="T13" s="16" t="b">
        <f aca="false">Q13&lt;&gt;R13</f>
        <v>1</v>
      </c>
    </row>
    <row r="14" customFormat="false" ht="14.25" hidden="false" customHeight="false" outlineLevel="0" collapsed="false">
      <c r="B14" s="0" t="n">
        <v>2</v>
      </c>
      <c r="C14" s="0" t="n">
        <v>1</v>
      </c>
      <c r="D14" s="0" t="str">
        <f aca="false">_xlfn.FORMULATEXT(E14)</f>
        <v>=B14&gt;C14</v>
      </c>
      <c r="E14" s="16" t="b">
        <f aca="false">B14&gt;C14</f>
        <v>1</v>
      </c>
      <c r="G14" s="0" t="n">
        <v>2</v>
      </c>
      <c r="H14" s="0" t="n">
        <v>1</v>
      </c>
      <c r="I14" s="0" t="str">
        <f aca="false">_xlfn.FORMULATEXT(J14)</f>
        <v>=G14&gt;=H14</v>
      </c>
      <c r="J14" s="16" t="b">
        <f aca="false">G14&gt;=H14</f>
        <v>1</v>
      </c>
      <c r="L14" s="0" t="n">
        <v>2</v>
      </c>
      <c r="M14" s="0" t="n">
        <v>1</v>
      </c>
      <c r="N14" s="0" t="str">
        <f aca="false">_xlfn.FORMULATEXT(O14)</f>
        <v>=L14=M14</v>
      </c>
      <c r="O14" s="16" t="b">
        <f aca="false">L14=M14</f>
        <v>0</v>
      </c>
      <c r="Q14" s="0" t="n">
        <v>2</v>
      </c>
      <c r="R14" s="0" t="n">
        <v>1</v>
      </c>
      <c r="S14" s="0" t="str">
        <f aca="false">_xlfn.FORMULATEXT(T14)</f>
        <v>=Q14&lt;&gt;R14</v>
      </c>
      <c r="T14" s="16" t="b">
        <f aca="false">Q14&lt;&gt;R14</f>
        <v>1</v>
      </c>
    </row>
    <row r="15" customFormat="false" ht="14.25" hidden="false" customHeight="false" outlineLevel="0" collapsed="false">
      <c r="B15" s="0" t="n">
        <v>2</v>
      </c>
      <c r="C15" s="0" t="n">
        <v>1</v>
      </c>
      <c r="D15" s="0" t="str">
        <f aca="false">_xlfn.FORMULATEXT(E15)</f>
        <v>=B15&gt;C15</v>
      </c>
      <c r="E15" s="16" t="b">
        <f aca="false">B15&gt;C15</f>
        <v>1</v>
      </c>
      <c r="G15" s="0" t="n">
        <v>2</v>
      </c>
      <c r="H15" s="0" t="n">
        <v>1</v>
      </c>
      <c r="I15" s="0" t="str">
        <f aca="false">_xlfn.FORMULATEXT(J15)</f>
        <v>=G15&gt;=H15</v>
      </c>
      <c r="J15" s="16" t="b">
        <f aca="false">G15&gt;=H15</f>
        <v>1</v>
      </c>
      <c r="L15" s="0" t="n">
        <v>2</v>
      </c>
      <c r="M15" s="0" t="n">
        <v>1</v>
      </c>
      <c r="N15" s="0" t="str">
        <f aca="false">_xlfn.FORMULATEXT(O15)</f>
        <v>=L15=M15</v>
      </c>
      <c r="O15" s="16" t="b">
        <f aca="false">L15=M15</f>
        <v>0</v>
      </c>
      <c r="Q15" s="0" t="n">
        <v>2</v>
      </c>
      <c r="R15" s="0" t="n">
        <v>1</v>
      </c>
      <c r="S15" s="0" t="str">
        <f aca="false">_xlfn.FORMULATEXT(T15)</f>
        <v>=Q15&lt;&gt;R15</v>
      </c>
      <c r="T15" s="16" t="b">
        <f aca="false">Q15&lt;&gt;R15</f>
        <v>1</v>
      </c>
    </row>
    <row r="18" customFormat="false" ht="14.25" hidden="false" customHeight="false" outlineLevel="0" collapsed="false">
      <c r="A18" s="0" t="s">
        <v>187</v>
      </c>
    </row>
    <row r="19" customFormat="false" ht="14.25" hidden="false" customHeight="false" outlineLevel="0" collapsed="false">
      <c r="A19" s="0" t="s">
        <v>188</v>
      </c>
      <c r="B19" s="0" t="s">
        <v>189</v>
      </c>
    </row>
    <row r="20" customFormat="false" ht="14.25" hidden="false" customHeight="false" outlineLevel="0" collapsed="false">
      <c r="A20" s="0" t="s">
        <v>190</v>
      </c>
      <c r="B20" s="0" t="s">
        <v>191</v>
      </c>
    </row>
    <row r="21" customFormat="false" ht="14.25" hidden="false" customHeight="false" outlineLevel="0" collapsed="false">
      <c r="A21" s="0" t="s">
        <v>192</v>
      </c>
      <c r="B21" s="0" t="s">
        <v>193</v>
      </c>
    </row>
    <row r="23" customFormat="false" ht="14.25" hidden="false" customHeight="false" outlineLevel="0" collapsed="false">
      <c r="A23" s="0" t="s">
        <v>194</v>
      </c>
    </row>
    <row r="25" customFormat="false" ht="14.25" hidden="false" customHeight="false" outlineLevel="0" collapsed="false">
      <c r="A25" s="0" t="s">
        <v>195</v>
      </c>
      <c r="B25" s="0" t="s">
        <v>196</v>
      </c>
      <c r="C25" s="0" t="s">
        <v>197</v>
      </c>
    </row>
    <row r="26" customFormat="false" ht="14.25" hidden="false" customHeight="false" outlineLevel="0" collapsed="false">
      <c r="A26" s="0" t="s">
        <v>198</v>
      </c>
      <c r="B26" s="0" t="n">
        <v>2</v>
      </c>
      <c r="C26" s="0" t="str">
        <f aca="false">IF(B26&lt;5,"short","long")</f>
        <v>short</v>
      </c>
    </row>
    <row r="27" customFormat="false" ht="14.25" hidden="false" customHeight="false" outlineLevel="0" collapsed="false">
      <c r="A27" s="0" t="s">
        <v>199</v>
      </c>
      <c r="B27" s="0" t="n">
        <v>5</v>
      </c>
      <c r="C27" s="0" t="str">
        <f aca="false">IF(B27&lt;5,"short","long")</f>
        <v>long</v>
      </c>
    </row>
    <row r="28" customFormat="false" ht="14.25" hidden="false" customHeight="false" outlineLevel="0" collapsed="false">
      <c r="A28" s="0" t="s">
        <v>200</v>
      </c>
      <c r="B28" s="0" t="n">
        <v>10</v>
      </c>
      <c r="C28" s="0" t="str">
        <f aca="false">IF(B28&lt;5,"short","long")</f>
        <v>long</v>
      </c>
    </row>
    <row r="29" customFormat="false" ht="14.25" hidden="false" customHeight="false" outlineLevel="0" collapsed="false">
      <c r="A29" s="0" t="s">
        <v>201</v>
      </c>
      <c r="B29" s="0" t="n">
        <v>1</v>
      </c>
      <c r="C29" s="0" t="str">
        <f aca="false">IF(B29&lt;5,"short","long")</f>
        <v>short</v>
      </c>
    </row>
    <row r="30" customFormat="false" ht="14.25" hidden="false" customHeight="false" outlineLevel="0" collapsed="false">
      <c r="A30" s="0" t="s">
        <v>202</v>
      </c>
      <c r="B30" s="0" t="n">
        <v>15</v>
      </c>
      <c r="C30" s="0" t="str">
        <f aca="false">IF(B30&lt;5,"short","long")</f>
        <v>long</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E46" activeCellId="0" sqref="E46"/>
    </sheetView>
  </sheetViews>
  <sheetFormatPr defaultColWidth="8.6796875" defaultRowHeight="14.25" zeroHeight="false" outlineLevelRow="0" outlineLevelCol="0"/>
  <cols>
    <col collapsed="false" customWidth="true" hidden="false" outlineLevel="0" max="1" min="1" style="0" width="14.09"/>
    <col collapsed="false" customWidth="true" hidden="false" outlineLevel="0" max="2" min="2" style="0" width="9.67"/>
  </cols>
  <sheetData>
    <row r="1" customFormat="false" ht="14.25" hidden="false" customHeight="false" outlineLevel="0" collapsed="false">
      <c r="A1" s="0" t="s">
        <v>203</v>
      </c>
    </row>
    <row r="3" customFormat="false" ht="14.25" hidden="false" customHeight="false" outlineLevel="0" collapsed="false">
      <c r="A3" s="0" t="s">
        <v>204</v>
      </c>
    </row>
    <row r="5" customFormat="false" ht="14.25" hidden="false" customHeight="false" outlineLevel="0" collapsed="false">
      <c r="A5" s="0" t="s">
        <v>205</v>
      </c>
    </row>
    <row r="6" customFormat="false" ht="14.25" hidden="false" customHeight="false" outlineLevel="0" collapsed="false">
      <c r="A6" s="0" t="s">
        <v>194</v>
      </c>
    </row>
    <row r="8" customFormat="false" ht="14.25" hidden="false" customHeight="false" outlineLevel="0" collapsed="false">
      <c r="A8" s="0" t="s">
        <v>206</v>
      </c>
      <c r="B8" s="0" t="s">
        <v>207</v>
      </c>
      <c r="C8" s="0" t="s">
        <v>208</v>
      </c>
    </row>
    <row r="9" customFormat="false" ht="14.25" hidden="false" customHeight="false" outlineLevel="0" collapsed="false">
      <c r="A9" s="5" t="n">
        <v>45631</v>
      </c>
      <c r="B9" s="5" t="n">
        <v>45627</v>
      </c>
      <c r="C9" s="10" t="n">
        <f aca="false">A9-B9</f>
        <v>4</v>
      </c>
    </row>
    <row r="11" customFormat="false" ht="14.25" hidden="false" customHeight="false" outlineLevel="0" collapsed="false">
      <c r="A11" s="0" t="s">
        <v>209</v>
      </c>
    </row>
    <row r="12" customFormat="false" ht="14.25" hidden="false" customHeight="false" outlineLevel="0" collapsed="false">
      <c r="A12" s="0" t="s">
        <v>210</v>
      </c>
    </row>
    <row r="13" customFormat="false" ht="14.25" hidden="false" customHeight="false" outlineLevel="0" collapsed="false">
      <c r="A13" s="0" t="s">
        <v>211</v>
      </c>
    </row>
    <row r="15" customFormat="false" ht="14.25" hidden="false" customHeight="false" outlineLevel="0" collapsed="false">
      <c r="A15" s="5" t="n">
        <v>45631</v>
      </c>
      <c r="B15" s="5" t="n">
        <v>45627</v>
      </c>
      <c r="C15" s="10" t="n">
        <f aca="false">A15-B15+1</f>
        <v>5</v>
      </c>
    </row>
    <row r="17" customFormat="false" ht="14.25" hidden="false" customHeight="false" outlineLevel="0" collapsed="false">
      <c r="A17" s="0" t="s">
        <v>212</v>
      </c>
    </row>
    <row r="21" customFormat="false" ht="14.25" hidden="false" customHeight="false" outlineLevel="0" collapsed="false">
      <c r="A21" s="0" t="s">
        <v>213</v>
      </c>
    </row>
    <row r="23" customFormat="false" ht="14.25" hidden="false" customHeight="false" outlineLevel="0" collapsed="false">
      <c r="A23" s="0" t="s">
        <v>214</v>
      </c>
    </row>
    <row r="24" customFormat="false" ht="14.25" hidden="false" customHeight="false" outlineLevel="0" collapsed="false">
      <c r="A24" s="0" t="s">
        <v>215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11.53515625" defaultRowHeight="14.25" zeroHeight="false" outlineLevelRow="0" outlineLevelCol="0"/>
  <cols>
    <col collapsed="false" customWidth="true" hidden="false" outlineLevel="0" max="1" min="1" style="0" width="13.35"/>
    <col collapsed="false" customWidth="true" hidden="false" outlineLevel="0" max="2" min="2" style="0" width="11.2"/>
    <col collapsed="false" customWidth="true" hidden="false" outlineLevel="0" max="3" min="3" style="0" width="8.78"/>
    <col collapsed="false" customWidth="true" hidden="false" outlineLevel="0" max="4" min="4" style="0" width="18.18"/>
    <col collapsed="false" customWidth="true" hidden="false" outlineLevel="0" max="5" min="5" style="0" width="13.48"/>
  </cols>
  <sheetData>
    <row r="1" customFormat="false" ht="14.25" hidden="false" customHeight="false" outlineLevel="0" collapsed="false">
      <c r="A1" s="0" t="s">
        <v>216</v>
      </c>
      <c r="B1" s="0" t="s">
        <v>217</v>
      </c>
      <c r="C1" s="0" t="s">
        <v>218</v>
      </c>
      <c r="D1" s="0" t="s">
        <v>219</v>
      </c>
      <c r="E1" s="0" t="s">
        <v>220</v>
      </c>
    </row>
    <row r="2" customFormat="false" ht="14.25" hidden="false" customHeight="false" outlineLevel="0" collapsed="false">
      <c r="A2" s="5" t="n">
        <v>40179</v>
      </c>
      <c r="B2" s="5" t="n">
        <v>40238</v>
      </c>
      <c r="C2" s="10" t="n">
        <f aca="false">B2-A2+1</f>
        <v>60</v>
      </c>
      <c r="D2" s="10" t="n">
        <f aca="false">(B2-A2+1)/7</f>
        <v>8.57142857142857</v>
      </c>
      <c r="E2" s="10" t="n">
        <f aca="false">INT((B2-A2+1)/7)</f>
        <v>8</v>
      </c>
    </row>
    <row r="4" customFormat="false" ht="14.25" hidden="false" customHeight="false" outlineLevel="0" collapsed="false">
      <c r="A4" s="5"/>
    </row>
    <row r="7" customFormat="false" ht="14.25" hidden="false" customHeight="false" outlineLevel="0" collapsed="false">
      <c r="B7" s="0" t="s">
        <v>221</v>
      </c>
    </row>
    <row r="8" customFormat="false" ht="14.25" hidden="false" customHeight="false" outlineLevel="0" collapsed="false">
      <c r="B8" s="0" t="s">
        <v>222</v>
      </c>
    </row>
    <row r="9" customFormat="false" ht="14.25" hidden="false" customHeight="false" outlineLevel="0" collapsed="false">
      <c r="B9" s="24" t="n">
        <f aca="true">TODAY()</f>
        <v>46069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8671875" defaultRowHeight="14.25" zeroHeight="false" outlineLevelRow="0" outlineLevelCol="0"/>
  <sheetData>
    <row r="1" customFormat="false" ht="14.25" hidden="false" customHeight="false" outlineLevel="0" collapsed="false">
      <c r="A1" s="0" t="s">
        <v>223</v>
      </c>
    </row>
    <row r="2" customFormat="false" ht="14.25" hidden="false" customHeight="false" outlineLevel="0" collapsed="false">
      <c r="A2" s="0" t="s">
        <v>224</v>
      </c>
    </row>
    <row r="3" customFormat="false" ht="14.25" hidden="false" customHeight="false" outlineLevel="0" collapsed="false">
      <c r="A3" s="0" t="s">
        <v>225</v>
      </c>
    </row>
    <row r="5" customFormat="false" ht="14.25" hidden="false" customHeight="false" outlineLevel="0" collapsed="false">
      <c r="A5" s="0" t="s">
        <v>226</v>
      </c>
      <c r="B5" s="0" t="s">
        <v>227</v>
      </c>
    </row>
    <row r="6" customFormat="false" ht="14.25" hidden="false" customHeight="false" outlineLevel="0" collapsed="false">
      <c r="A6" s="25" t="n">
        <f aca="false">22/7</f>
        <v>3.14285714285714</v>
      </c>
      <c r="B6" s="26" t="n">
        <f aca="false">1+A6</f>
        <v>4.14285714285714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7" colorId="64" zoomScale="150" zoomScaleNormal="150" zoomScalePageLayoutView="100" workbookViewId="0">
      <selection pane="topLeft" activeCell="A7" activeCellId="0" sqref="A7"/>
    </sheetView>
  </sheetViews>
  <sheetFormatPr defaultColWidth="8.6796875" defaultRowHeight="14.25" zeroHeight="false" outlineLevelRow="0" outlineLevelCol="0"/>
  <cols>
    <col collapsed="false" customWidth="true" hidden="false" outlineLevel="0" max="5" min="5" style="0" width="31.11"/>
    <col collapsed="false" customWidth="true" hidden="false" outlineLevel="0" max="6" min="6" style="0" width="21.56"/>
  </cols>
  <sheetData>
    <row r="1" customFormat="false" ht="14.25" hidden="false" customHeight="false" outlineLevel="0" collapsed="false">
      <c r="A1" s="0" t="s">
        <v>228</v>
      </c>
    </row>
    <row r="2" customFormat="false" ht="14.25" hidden="false" customHeight="false" outlineLevel="0" collapsed="false">
      <c r="A2" s="0" t="s">
        <v>229</v>
      </c>
    </row>
    <row r="3" customFormat="false" ht="14.25" hidden="false" customHeight="false" outlineLevel="0" collapsed="false">
      <c r="A3" s="0" t="s">
        <v>230</v>
      </c>
    </row>
    <row r="4" customFormat="false" ht="14.25" hidden="false" customHeight="false" outlineLevel="0" collapsed="false">
      <c r="A4" s="0" t="s">
        <v>231</v>
      </c>
    </row>
    <row r="6" customFormat="false" ht="14.25" hidden="false" customHeight="false" outlineLevel="0" collapsed="false">
      <c r="A6" s="0" t="s">
        <v>232</v>
      </c>
    </row>
    <row r="7" customFormat="false" ht="14.25" hidden="false" customHeight="false" outlineLevel="0" collapsed="false">
      <c r="A7" s="0" t="s">
        <v>233</v>
      </c>
    </row>
    <row r="8" customFormat="false" ht="14.25" hidden="false" customHeight="false" outlineLevel="0" collapsed="false">
      <c r="A8" s="0" t="s">
        <v>234</v>
      </c>
    </row>
    <row r="11" customFormat="false" ht="14.25" hidden="false" customHeight="false" outlineLevel="0" collapsed="false">
      <c r="E11" s="0" t="s">
        <v>235</v>
      </c>
      <c r="F11" s="0" t="s">
        <v>236</v>
      </c>
    </row>
    <row r="12" customFormat="false" ht="14.25" hidden="false" customHeight="false" outlineLevel="0" collapsed="false">
      <c r="A12" s="0" t="s">
        <v>237</v>
      </c>
      <c r="B12" s="0" t="s">
        <v>238</v>
      </c>
      <c r="C12" s="0" t="s">
        <v>239</v>
      </c>
      <c r="D12" s="0" t="s">
        <v>240</v>
      </c>
      <c r="E12" s="0" t="s">
        <v>241</v>
      </c>
      <c r="F12" s="0" t="s">
        <v>242</v>
      </c>
    </row>
    <row r="13" customFormat="false" ht="14.25" hidden="false" customHeight="false" outlineLevel="0" collapsed="false">
      <c r="A13" s="0" t="s">
        <v>198</v>
      </c>
      <c r="B13" s="0" t="n">
        <v>63</v>
      </c>
      <c r="C13" s="0" t="n">
        <v>79</v>
      </c>
      <c r="D13" s="0" t="n">
        <v>65</v>
      </c>
      <c r="E13" s="16" t="b">
        <f aca="false">AND(B13&gt;=70,C13&gt;=70,D13&gt;=70)</f>
        <v>0</v>
      </c>
      <c r="F13" s="16" t="b">
        <f aca="false">OR(B13&gt;=70,C13&gt;=70,D13&gt;=70)</f>
        <v>1</v>
      </c>
    </row>
    <row r="14" customFormat="false" ht="14.25" hidden="false" customHeight="false" outlineLevel="0" collapsed="false">
      <c r="A14" s="0" t="s">
        <v>199</v>
      </c>
      <c r="B14" s="0" t="n">
        <v>75</v>
      </c>
      <c r="C14" s="0" t="n">
        <v>88</v>
      </c>
      <c r="D14" s="0" t="n">
        <v>80</v>
      </c>
      <c r="E14" s="16" t="b">
        <f aca="false">AND(B14&gt;=70,C14&gt;=70,D14&gt;=70)</f>
        <v>1</v>
      </c>
      <c r="F14" s="16" t="b">
        <f aca="false">OR(B14&gt;=70,C14&gt;=70,D14&gt;=70)</f>
        <v>1</v>
      </c>
    </row>
    <row r="15" customFormat="false" ht="14.25" hidden="false" customHeight="false" outlineLevel="0" collapsed="false">
      <c r="A15" s="0" t="s">
        <v>200</v>
      </c>
      <c r="B15" s="0" t="n">
        <v>69</v>
      </c>
      <c r="C15" s="0" t="n">
        <v>66</v>
      </c>
      <c r="D15" s="0" t="n">
        <v>68</v>
      </c>
      <c r="E15" s="16" t="b">
        <f aca="false">AND(B15&gt;=70,C15&gt;=70,D15&gt;=70)</f>
        <v>0</v>
      </c>
      <c r="F15" s="16" t="b">
        <f aca="false">OR(B15&gt;=70,C15&gt;=70,D15&gt;=70)</f>
        <v>0</v>
      </c>
    </row>
    <row r="16" customFormat="false" ht="14.25" hidden="false" customHeight="false" outlineLevel="0" collapsed="false">
      <c r="A16" s="0" t="s">
        <v>201</v>
      </c>
      <c r="B16" s="0" t="n">
        <v>70</v>
      </c>
      <c r="C16" s="0" t="n">
        <v>66</v>
      </c>
      <c r="D16" s="0" t="n">
        <v>69</v>
      </c>
      <c r="E16" s="16" t="b">
        <f aca="false">AND(B16&gt;=70,C16&gt;=70,D16&gt;=70)</f>
        <v>0</v>
      </c>
      <c r="F16" s="16" t="b">
        <f aca="false">OR(B16&gt;=70,C16&gt;=70,D16&gt;=70)</f>
        <v>1</v>
      </c>
    </row>
    <row r="17" customFormat="false" ht="14.25" hidden="false" customHeight="false" outlineLevel="0" collapsed="false">
      <c r="A17" s="0" t="s">
        <v>243</v>
      </c>
      <c r="B17" s="0" t="n">
        <v>75</v>
      </c>
      <c r="C17" s="0" t="n">
        <v>70</v>
      </c>
      <c r="D17" s="0" t="n">
        <v>73</v>
      </c>
      <c r="E17" s="16" t="b">
        <f aca="false">AND(B17&gt;=70,C17&gt;=70,D17&gt;=70)</f>
        <v>1</v>
      </c>
      <c r="F17" s="16" t="b">
        <f aca="false">OR(B17&gt;=70,C17&gt;=70,D17&gt;=70)</f>
        <v>1</v>
      </c>
    </row>
    <row r="18" customFormat="false" ht="14.25" hidden="false" customHeight="false" outlineLevel="0" collapsed="false">
      <c r="A18" s="0" t="s">
        <v>244</v>
      </c>
      <c r="B18" s="0" t="n">
        <v>64</v>
      </c>
      <c r="C18" s="0" t="n">
        <v>70</v>
      </c>
      <c r="D18" s="0" t="n">
        <v>78</v>
      </c>
      <c r="E18" s="16" t="b">
        <f aca="false">AND(B18&gt;=70,C18&gt;=70,D18&gt;=70)</f>
        <v>0</v>
      </c>
      <c r="F18" s="16" t="b">
        <f aca="false">OR(B18&gt;=70,C18&gt;=70,D18&gt;=70)</f>
        <v>1</v>
      </c>
    </row>
    <row r="19" customFormat="false" ht="14.25" hidden="false" customHeight="false" outlineLevel="0" collapsed="false">
      <c r="A19" s="0" t="s">
        <v>245</v>
      </c>
      <c r="B19" s="0" t="n">
        <v>69</v>
      </c>
      <c r="C19" s="0" t="n">
        <v>69</v>
      </c>
      <c r="D19" s="0" t="n">
        <v>75</v>
      </c>
      <c r="E19" s="16" t="b">
        <f aca="false">AND(B19&gt;=70,C19&gt;=70,D19&gt;=70)</f>
        <v>0</v>
      </c>
      <c r="F19" s="16" t="b">
        <f aca="false">OR(B19&gt;=70,C19&gt;=70,D19&gt;=70)</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0" width="15.77"/>
    <col collapsed="false" customWidth="true" hidden="false" outlineLevel="0" max="2" min="2" style="0" width="15.49"/>
    <col collapsed="false" customWidth="true" hidden="false" outlineLevel="0" max="3" min="3" style="0" width="16.33"/>
    <col collapsed="false" customWidth="true" hidden="false" outlineLevel="0" max="4" min="4" style="0" width="16.59"/>
    <col collapsed="false" customWidth="true" hidden="false" outlineLevel="0" max="7" min="7" style="0" width="16.59"/>
    <col collapsed="false" customWidth="true" hidden="false" outlineLevel="0" max="8" min="8" style="0" width="9.56"/>
  </cols>
  <sheetData>
    <row r="1" customFormat="false" ht="14.25" hidden="false" customHeight="false" outlineLevel="0" collapsed="false">
      <c r="A1" s="19" t="s">
        <v>246</v>
      </c>
      <c r="F1" s="10" t="s">
        <v>247</v>
      </c>
    </row>
    <row r="3" customFormat="false" ht="14.25" hidden="false" customHeight="false" outlineLevel="0" collapsed="false">
      <c r="A3" s="0" t="s">
        <v>248</v>
      </c>
      <c r="H3" s="5" t="n">
        <v>45314</v>
      </c>
    </row>
    <row r="4" customFormat="false" ht="14.25" hidden="false" customHeight="false" outlineLevel="0" collapsed="false">
      <c r="G4" s="0" t="s">
        <v>249</v>
      </c>
      <c r="H4" s="5" t="n">
        <f aca="false">DATE(2024,1,23)</f>
        <v>45314</v>
      </c>
    </row>
    <row r="5" customFormat="false" ht="14.25" hidden="false" customHeight="false" outlineLevel="0" collapsed="false">
      <c r="A5" s="0" t="s">
        <v>250</v>
      </c>
      <c r="G5" s="0" t="s">
        <v>251</v>
      </c>
      <c r="H5" s="5" t="n">
        <f aca="false">DATEVALUE("1/23/2024")</f>
        <v>45314</v>
      </c>
    </row>
    <row r="6" customFormat="false" ht="14.25" hidden="false" customHeight="false" outlineLevel="0" collapsed="false">
      <c r="B6" s="0" t="s">
        <v>252</v>
      </c>
      <c r="G6" s="0" t="s">
        <v>253</v>
      </c>
      <c r="H6" s="0" t="n">
        <f aca="false">DAY(H3)</f>
        <v>23</v>
      </c>
    </row>
    <row r="7" customFormat="false" ht="14.25" hidden="false" customHeight="false" outlineLevel="0" collapsed="false">
      <c r="G7" s="0" t="s">
        <v>254</v>
      </c>
      <c r="H7" s="0" t="n">
        <f aca="false">MONTH(H3)</f>
        <v>1</v>
      </c>
    </row>
    <row r="8" customFormat="false" ht="14.25" hidden="false" customHeight="false" outlineLevel="0" collapsed="false">
      <c r="A8" s="0" t="s">
        <v>255</v>
      </c>
      <c r="G8" s="0" t="s">
        <v>256</v>
      </c>
      <c r="H8" s="0" t="n">
        <f aca="false">YEAR(H3)</f>
        <v>2024</v>
      </c>
    </row>
    <row r="9" customFormat="false" ht="14.25" hidden="false" customHeight="false" outlineLevel="0" collapsed="false">
      <c r="B9" s="0" t="s">
        <v>257</v>
      </c>
      <c r="G9" s="0" t="s">
        <v>258</v>
      </c>
      <c r="H9" s="5" t="n">
        <f aca="false">EDATE(H3,0)</f>
        <v>45314</v>
      </c>
    </row>
    <row r="10" customFormat="false" ht="14.25" hidden="false" customHeight="false" outlineLevel="0" collapsed="false">
      <c r="B10" s="0" t="s">
        <v>259</v>
      </c>
      <c r="G10" s="0" t="s">
        <v>260</v>
      </c>
      <c r="H10" s="5" t="n">
        <f aca="false">EOMONTH(H3,0)</f>
        <v>45322</v>
      </c>
    </row>
    <row r="11" customFormat="false" ht="14.25" hidden="false" customHeight="false" outlineLevel="0" collapsed="false">
      <c r="B11" s="0" t="s">
        <v>261</v>
      </c>
    </row>
    <row r="12" customFormat="false" ht="14.25" hidden="false" customHeight="false" outlineLevel="0" collapsed="false">
      <c r="B12" s="0" t="s">
        <v>262</v>
      </c>
    </row>
    <row r="13" customFormat="false" ht="14.25" hidden="false" customHeight="false" outlineLevel="0" collapsed="false">
      <c r="B13" s="0" t="s">
        <v>263</v>
      </c>
    </row>
    <row r="16" customFormat="false" ht="14.25" hidden="false" customHeight="false" outlineLevel="0" collapsed="false">
      <c r="A16" s="0" t="s">
        <v>264</v>
      </c>
    </row>
    <row r="17" customFormat="false" ht="14.25" hidden="false" customHeight="false" outlineLevel="0" collapsed="false">
      <c r="A17" s="0" t="s">
        <v>265</v>
      </c>
      <c r="B17" s="0" t="s">
        <v>266</v>
      </c>
      <c r="C17" s="0" t="s">
        <v>267</v>
      </c>
      <c r="D17" s="0" t="s">
        <v>268</v>
      </c>
      <c r="E17" s="0" t="s">
        <v>269</v>
      </c>
    </row>
    <row r="18" customFormat="false" ht="14.25" hidden="false" customHeight="false" outlineLevel="0" collapsed="false">
      <c r="A18" s="27"/>
      <c r="B18" s="27" t="s">
        <v>270</v>
      </c>
      <c r="C18" s="27" t="s">
        <v>271</v>
      </c>
      <c r="D18" s="28" t="n">
        <v>45292</v>
      </c>
      <c r="E18" s="27" t="s">
        <v>272</v>
      </c>
    </row>
    <row r="19" customFormat="false" ht="14.25" hidden="false" customHeight="false" outlineLevel="0" collapsed="false">
      <c r="A19" s="27"/>
      <c r="B19" s="27" t="s">
        <v>273</v>
      </c>
      <c r="C19" s="27" t="s">
        <v>274</v>
      </c>
      <c r="D19" s="28" t="n">
        <v>45337</v>
      </c>
      <c r="E19" s="27" t="s">
        <v>275</v>
      </c>
    </row>
    <row r="20" customFormat="false" ht="14.25" hidden="false" customHeight="false" outlineLevel="0" collapsed="false">
      <c r="A20" s="27"/>
      <c r="B20" s="27" t="s">
        <v>276</v>
      </c>
      <c r="C20" s="27" t="s">
        <v>277</v>
      </c>
      <c r="D20" s="28" t="n">
        <v>44990</v>
      </c>
      <c r="E20" s="27" t="s">
        <v>278</v>
      </c>
    </row>
    <row r="21" customFormat="false" ht="14.25" hidden="false" customHeight="false" outlineLevel="0" collapsed="false">
      <c r="A21" s="27"/>
      <c r="B21" s="27" t="s">
        <v>279</v>
      </c>
      <c r="C21" s="27" t="s">
        <v>280</v>
      </c>
      <c r="D21" s="28" t="n">
        <v>44666</v>
      </c>
      <c r="E21" s="27" t="s">
        <v>281</v>
      </c>
    </row>
    <row r="22" customFormat="false" ht="14.25" hidden="false" customHeight="false" outlineLevel="0" collapsed="false">
      <c r="A22" s="27"/>
      <c r="B22" s="27"/>
      <c r="C22" s="27"/>
      <c r="D22" s="27"/>
      <c r="E22" s="27"/>
    </row>
    <row r="23" customFormat="false" ht="14.25" hidden="false" customHeight="false" outlineLevel="0" collapsed="false">
      <c r="A23" s="0" t="s">
        <v>282</v>
      </c>
    </row>
    <row r="24" customFormat="false" ht="14.25" hidden="false" customHeight="false" outlineLevel="0" collapsed="false">
      <c r="B24" s="0" t="s">
        <v>266</v>
      </c>
      <c r="C24" s="0" t="s">
        <v>267</v>
      </c>
      <c r="D24" s="0" t="s">
        <v>268</v>
      </c>
      <c r="E24" s="0" t="s">
        <v>269</v>
      </c>
    </row>
    <row r="28" customFormat="false" ht="14.25" hidden="false" customHeight="false" outlineLevel="0" collapsed="false">
      <c r="A28" s="0" t="s">
        <v>283</v>
      </c>
    </row>
    <row r="29" customFormat="false" ht="14.25" hidden="false" customHeight="false" outlineLevel="0" collapsed="false">
      <c r="C29" s="29" t="n">
        <v>45314.5940972222</v>
      </c>
    </row>
    <row r="33" customFormat="false" ht="14.25" hidden="false" customHeight="false" outlineLevel="0" collapsed="false">
      <c r="A33" s="0" t="s">
        <v>247</v>
      </c>
    </row>
    <row r="36" customFormat="false" ht="14.25" hidden="false" customHeight="false" outlineLevel="0" collapsed="false">
      <c r="B36" s="0" t="s">
        <v>249</v>
      </c>
      <c r="C36" s="28" t="n">
        <f aca="false">DATE(2024,1,23)</f>
        <v>45314</v>
      </c>
    </row>
    <row r="37" customFormat="false" ht="14.25" hidden="false" customHeight="false" outlineLevel="0" collapsed="false">
      <c r="B37" s="0" t="s">
        <v>251</v>
      </c>
      <c r="C37" s="28" t="n">
        <f aca="false">DATEVALUE("1/23/2024")</f>
        <v>45314</v>
      </c>
    </row>
    <row r="38" customFormat="false" ht="14.25" hidden="false" customHeight="false" outlineLevel="0" collapsed="false">
      <c r="B38" s="0" t="s">
        <v>253</v>
      </c>
      <c r="C38" s="27" t="n">
        <f aca="false">DAY(C29)</f>
        <v>23</v>
      </c>
    </row>
    <row r="39" customFormat="false" ht="14.25" hidden="false" customHeight="false" outlineLevel="0" collapsed="false">
      <c r="B39" s="0" t="s">
        <v>254</v>
      </c>
      <c r="C39" s="27" t="n">
        <f aca="false">MONTH(C29)</f>
        <v>1</v>
      </c>
    </row>
    <row r="40" customFormat="false" ht="14.25" hidden="false" customHeight="false" outlineLevel="0" collapsed="false">
      <c r="B40" s="0" t="s">
        <v>256</v>
      </c>
      <c r="C40" s="27" t="n">
        <f aca="false">YEAR(C29)</f>
        <v>2024</v>
      </c>
    </row>
    <row r="41" customFormat="false" ht="14.25" hidden="false" customHeight="false" outlineLevel="0" collapsed="false">
      <c r="B41" s="0" t="s">
        <v>284</v>
      </c>
      <c r="C41" s="27" t="n">
        <f aca="false">HOUR(C29)</f>
        <v>14</v>
      </c>
    </row>
    <row r="42" customFormat="false" ht="14.25" hidden="false" customHeight="false" outlineLevel="0" collapsed="false">
      <c r="B42" s="0" t="s">
        <v>285</v>
      </c>
      <c r="C42" s="27" t="n">
        <f aca="false">MINUTE(C29)</f>
        <v>15</v>
      </c>
    </row>
    <row r="43" customFormat="false" ht="14.25" hidden="false" customHeight="false" outlineLevel="0" collapsed="false">
      <c r="B43" s="0" t="s">
        <v>286</v>
      </c>
      <c r="C43" s="27" t="n">
        <f aca="false">SECOND(C29)</f>
        <v>30</v>
      </c>
    </row>
    <row r="44" customFormat="false" ht="14.25" hidden="false" customHeight="false" outlineLevel="0" collapsed="false">
      <c r="B44" s="0" t="s">
        <v>258</v>
      </c>
      <c r="C44" s="28" t="n">
        <f aca="false">EDATE(C29,0)</f>
        <v>45314</v>
      </c>
    </row>
    <row r="45" customFormat="false" ht="14.25" hidden="false" customHeight="false" outlineLevel="0" collapsed="false">
      <c r="B45" s="0" t="s">
        <v>260</v>
      </c>
      <c r="C45" s="28" t="n">
        <f aca="false">EOMONTH(C29,0)</f>
        <v>45322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75</TotalTime>
  <Application>LibreOffice/24.2.7.2$Linux_X86_64 LibreOffice_project/420$Build-2</Application>
  <AppVersion>15.0000</AppVersion>
  <Company>YU</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2010-01-26T20:09:39Z</dcterms:created>
  <dc:creator>yrosenth</dc:creator>
  <dc:description/>
  <dc:language>en-US</dc:language>
  <cp:lastModifiedBy/>
  <cp:lastPrinted>2018-03-05T14:15:15Z</cp:lastPrinted>
  <dcterms:modified xsi:type="dcterms:W3CDTF">2026-02-16T13:55:51Z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